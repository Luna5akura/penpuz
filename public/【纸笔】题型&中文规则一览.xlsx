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book.xml" ContentType="application/vnd.openxmlformats-officedocument.spreadsheetml.sheet.main+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分类" sheetId="1" r:id="rId3"/>
    <sheet name="题型与规则" sheetId="2" r:id="rId4"/>
    <sheet name="每日纸笔存档" sheetId="3" r:id="rId5"/>
  </sheets>
  <calcPr fullCalcOnLoad="0"/>
</workbook>
</file>

<file path=xl/sharedStrings.xml><?xml version="1.0" encoding="utf-8"?>
<sst xmlns="http://schemas.openxmlformats.org/spreadsheetml/2006/main" count="1674" uniqueCount="1674">
  <si>
    <t/>
  </si>
  <si>
    <t>类别</t>
  </si>
  <si>
    <t>周</t>
  </si>
  <si>
    <t>计数</t>
  </si>
  <si>
    <t>描述</t>
  </si>
  <si>
    <t>最新克隆日期：2026.7.17</t>
  </si>
  <si>
    <t>涂黑I</t>
  </si>
  <si>
    <t>一种颜色连通成一个整体</t>
  </si>
  <si>
    <t>涂黑II</t>
  </si>
  <si>
    <t>单个色块是某种形状，或黑白规则交替</t>
  </si>
  <si>
    <t>比较全的英文规则文本</t>
  </si>
  <si>
    <t>放置/涂黑III</t>
  </si>
  <si>
    <t>多个黑色块间有某种关系，或放置类题型</t>
  </si>
  <si>
    <t>将题型按规则相似程度分类</t>
  </si>
  <si>
    <t>填写</t>
  </si>
  <si>
    <t>填入几种符号之一</t>
  </si>
  <si>
    <t>记载了一些题型最初在哪里出现</t>
  </si>
  <si>
    <t>分区</t>
  </si>
  <si>
    <t>解法是描边界</t>
  </si>
  <si>
    <t>回路I/路径I</t>
  </si>
  <si>
    <t>回路不经过的空格没有任何限制</t>
  </si>
  <si>
    <t>回路II/路径II</t>
  </si>
  <si>
    <t>回路经过所有空格，或者回路不经过的空格也有规则限制</t>
  </si>
  <si>
    <t>目前共收录</t>
  </si>
  <si>
    <t>种纸笔谜题</t>
  </si>
  <si>
    <t>规则文本共</t>
  </si>
  <si>
    <t>字</t>
  </si>
  <si>
    <t>有些规则会在校对后录入本表</t>
  </si>
  <si>
    <t>这是北京大学谜题协会【每日谜题】纸笔推荐文案模板【分类与规则】部分的一个克隆。</t>
  </si>
  <si>
    <t>本表远非详尽无遗，</t>
  </si>
  <si>
    <t>欢迎任何形式的补充、勘误、建议：</t>
  </si>
  <si>
    <t>中文规则的文本来源如下：</t>
  </si>
  <si>
    <t>QQ 2418286836 (@COL)</t>
  </si>
  <si>
    <t>- World Puzzle Championship 2024的中文规则手册，经World Puzzle Federation许可使用</t>
  </si>
  <si>
    <t>欢迎加入北大谜协每日纸笔推荐组：</t>
  </si>
  <si>
    <t>- 笔者翻译自Eric Fox的英文规则词典</t>
  </si>
  <si>
    <t>QQ 1056908122</t>
  </si>
  <si>
    <t>- 其他来源（特别注明）</t>
  </si>
  <si>
    <t>我们在这里为题目定时，推荐纸笔题目，讨论规则文本</t>
  </si>
  <si>
    <t>考虑北大谜协【每日谜题】的举办方式与受众，我们进行了如下调整：</t>
  </si>
  <si>
    <t>- 只收录有盘面的题型。不轻易收录无法在puzzlink上作答的题型。不收录变种(不能被puzzlink判定答案的)题型。</t>
  </si>
  <si>
    <t>- 调整规则叙述以适应puzzlink的作答界面。</t>
  </si>
  <si>
    <t>- 在类别划分上，将所有题型划分为 7 个题型数量大致相等的类别，每周在 7 种类别中循环。</t>
  </si>
  <si>
    <t>- 为了尽可能缩短长度，对规则表述有一定删减（例如删除“有一些数字可能已经填入了盘面中”）</t>
  </si>
  <si>
    <t>请注意以上调整可能不完全符合所有纸笔爱好者的需求。</t>
  </si>
  <si>
    <t>ref name</t>
  </si>
  <si>
    <t>pzplus</t>
  </si>
  <si>
    <t>Name (en)</t>
  </si>
  <si>
    <t>Name (zh)</t>
  </si>
  <si>
    <t>Day</t>
  </si>
  <si>
    <t>Type</t>
  </si>
  <si>
    <t>Rules</t>
  </si>
  <si>
    <t>Length</t>
  </si>
  <si>
    <t>Rule Source</t>
  </si>
  <si>
    <t>Origin</t>
  </si>
  <si>
    <t>Year</t>
  </si>
  <si>
    <t>Ref</t>
  </si>
  <si>
    <t>pzplus名称</t>
  </si>
  <si>
    <t>收录?</t>
  </si>
  <si>
    <t>英文名</t>
  </si>
  <si>
    <t>中文名</t>
  </si>
  <si>
    <t>分类</t>
  </si>
  <si>
    <t>规则</t>
  </si>
  <si>
    <t>字数</t>
  </si>
  <si>
    <t>规则文本来源</t>
  </si>
  <si>
    <t>来源</t>
  </si>
  <si>
    <t>年份</t>
  </si>
  <si>
    <t>参考资料</t>
  </si>
  <si>
    <t>creek</t>
  </si>
  <si>
    <t>Creek</t>
  </si>
  <si>
    <t>溪流</t>
  </si>
  <si>
    <t>颜色正交连通</t>
  </si>
  <si>
    <t>涂黑一些格子，使得留白的格子连通成一个整体。圆圈里的数字表示接触此顶点的涂黑格数。</t>
  </si>
  <si>
    <t>WPC2024IB</t>
  </si>
  <si>
    <t>/</t>
  </si>
  <si>
    <t>Nikoli vol. 110</t>
  </si>
  <si>
    <t>PC, Nikoli</t>
  </si>
  <si>
    <t>disco</t>
  </si>
  <si>
    <t>Disconnection</t>
  </si>
  <si>
    <t>在每个区域内涂黑恰好两组连通的格子，使得所有涂黑的格子连通成一个整体，且没有全部涂黑的2×2结构。</t>
  </si>
  <si>
    <t>Sigmit64</t>
  </si>
  <si>
    <t>Inaba Naoki</t>
  </si>
  <si>
    <t>puzzlink</t>
  </si>
  <si>
    <t>hitori</t>
  </si>
  <si>
    <t>Hitori</t>
  </si>
  <si>
    <t>数壹</t>
  </si>
  <si>
    <t>涂黑一些格子，使得涂黑的格子之间不相邻，且留白的格子连通成一个整体。任意两个同行或同列的留白格不能包含相同的数字。</t>
  </si>
  <si>
    <t>Nikoli vol. 29</t>
  </si>
  <si>
    <t>lits</t>
  </si>
  <si>
    <t>LITS</t>
  </si>
  <si>
    <t>四格骨墙</t>
  </si>
  <si>
    <t>在每个区域内涂黑一个四格骨牌，使得所有涂黑的格子连通成一个整体，且没有全部涂黑的2×2结构。不同区域中全等的四格骨牌不能相邻。</t>
  </si>
  <si>
    <t>四格骨牌象形</t>
  </si>
  <si>
    <t>Nikoli</t>
  </si>
  <si>
    <t>PC</t>
  </si>
  <si>
    <t>aqre</t>
  </si>
  <si>
    <t>Aqre</t>
  </si>
  <si>
    <t>黑白无四</t>
  </si>
  <si>
    <t>涂黑一些空格，使得所有涂黑的格子连通成一个整体，且没有全部涂黑或者全部留白的1×4或4×1的结构。数字表示此区域内涂黑格的个数。</t>
  </si>
  <si>
    <t>Eric Fox</t>
  </si>
  <si>
    <t>parquet</t>
  </si>
  <si>
    <t>Parquet</t>
  </si>
  <si>
    <t>拼花地板</t>
  </si>
  <si>
    <t>在每个粗线构成的区域内完全涂黑恰好一个被细线分隔的区域，使得所有涂黑的格子连通成一个整体。涂黑格不能形成回路（包括2×2结构）。</t>
  </si>
  <si>
    <t>dodomos</t>
  </si>
  <si>
    <t>nothree</t>
  </si>
  <si>
    <t>No Three</t>
  </si>
  <si>
    <t>等隔无三</t>
  </si>
  <si>
    <t>涂黑一些格子，使得涂黑的格子之间不相邻，且留白的格子连通成一个整体。每个圆圈恰和一个涂黑格接触。同一行或同一列的三个连续黑格不能等距排列。</t>
  </si>
  <si>
    <t>COL译自Eric Fox</t>
  </si>
  <si>
    <t>Nikoli vol. 158</t>
  </si>
  <si>
    <t>teri</t>
  </si>
  <si>
    <t>Territory</t>
  </si>
  <si>
    <t>矩形领土</t>
  </si>
  <si>
    <t>涂黑一些格子，使得涂黑的格子之间不相邻，且留白的格子连通成一个整体。有白圈的格子必须留白。白圈里的数字表示包含此格的最大留白长方形的面积。</t>
  </si>
  <si>
    <t>COL译自puzzlink</t>
  </si>
  <si>
    <t>not in src</t>
  </si>
  <si>
    <t>heyawake</t>
  </si>
  <si>
    <t>Heyawake</t>
  </si>
  <si>
    <t>数间</t>
  </si>
  <si>
    <t>涂黑一些格子，使得涂黑的格子之间不相邻，且留白的格子连通成一个整体。任意一横段或纵段留白格不能穿过两个以上区域边界。数字表示此区域内涂黑格的个数。</t>
  </si>
  <si>
    <t>部屋分け</t>
  </si>
  <si>
    <t>Nikoli vol. 39</t>
  </si>
  <si>
    <t>nurikabe</t>
  </si>
  <si>
    <t>Nurikabe</t>
  </si>
  <si>
    <t>数墙</t>
  </si>
  <si>
    <t>涂黑一些空格，使得所有涂黑的格子连通成一个整体，且没有全部涂黑的2×2结构。每一组连通的留白格必须恰好包含一个数字。数字表示其所在的留白的连通组格数。</t>
  </si>
  <si>
    <t>塗壁</t>
  </si>
  <si>
    <t>Nikoli vol. 33</t>
  </si>
  <si>
    <t>akichi</t>
  </si>
  <si>
    <t>Akichiwake</t>
  </si>
  <si>
    <t>数间(空地)</t>
  </si>
  <si>
    <t>涂黑一些格子，使得涂黑的格子之间不相邻，且留白的格子连通成一个整体。任意一横段或纵段留白格不能穿过两个以上区域边界。数字表示此区域内最大留白连通组的面积。</t>
  </si>
  <si>
    <t>改自Heyawake</t>
  </si>
  <si>
    <t>Prasanna Seshadri</t>
  </si>
  <si>
    <t>canal</t>
  </si>
  <si>
    <t>Canal View</t>
  </si>
  <si>
    <t>峡谷</t>
  </si>
  <si>
    <t>涂黑一些空格，使得所有涂黑的格子连通成一个整体，且没有全部涂黑的2×2结构。圆圈里的数字表示此格横竖能够直接连接到且不被留白格阻挡的涂黑格个数，不包括此格本身。</t>
  </si>
  <si>
    <t>sumiwake</t>
  </si>
  <si>
    <t>Sumiwake</t>
  </si>
  <si>
    <t>圆角房间</t>
  </si>
  <si>
    <t>涂黑一些格子，使得涂黑的格子之间不相邻，且留白的格子连通成一个整体。任意一横段或纵段留白格不能穿过两个以上区域边界。白圈恰和一个涂黑格接触，黑圈恰和两个涂黑格接触。</t>
  </si>
  <si>
    <t>Nikoli vol. 66</t>
  </si>
  <si>
    <t>usoone</t>
  </si>
  <si>
    <t>Uso-One</t>
  </si>
  <si>
    <t>单一谎言</t>
  </si>
  <si>
    <t>涂黑一些格子，使得涂黑的格子之间不相邻，且留白的格子连通成一个整体。数字表示与之相邻的（至多）四格中涂黑格的个数。数字格不能涂黑。每个区域内都恰好有一个错误的数字。</t>
  </si>
  <si>
    <t>dodomos, 有修改</t>
  </si>
  <si>
    <t>Nikoli vol. 151</t>
  </si>
  <si>
    <t>yajikazu</t>
  </si>
  <si>
    <t>Yajisan-Kazusan</t>
  </si>
  <si>
    <t>真假仙人</t>
  </si>
  <si>
    <t>涂黑一些格子，使得涂黑的格子之间不相邻，且留白的格子连通成一个整体。在留白格内有箭头的数字表示从此格开始在这个方向中涂黑格的个数。这些提示数在涂黑格里则不提供信息。</t>
  </si>
  <si>
    <t>Nikoli vol. 74</t>
  </si>
  <si>
    <t>kurodoko</t>
  </si>
  <si>
    <t>Kurodoko</t>
  </si>
  <si>
    <t>田鼠挖洞</t>
  </si>
  <si>
    <t>涂黑一些格子，使得涂黑的格子之间不相邻，且留白的格子连通成一个整体。白圈里的数字必须在留白格里，并表示此格横竖能够直接连接到且不被涂黑格阻挡的留白格个数，包括此格本身。</t>
  </si>
  <si>
    <t>Nikoli vol. 34</t>
  </si>
  <si>
    <t>paintarea</t>
  </si>
  <si>
    <t>Paintarea</t>
  </si>
  <si>
    <t>涂鸦区域</t>
  </si>
  <si>
    <t>涂黑一些格子，使得所有涂黑的格子连通成一个整体，且没有全部涂黑或者全部留白的2×2结构。每个区域要么全部涂黑要么全部留白。数字表示与之相邻的（至多）四格中涂黑格的个数。</t>
  </si>
  <si>
    <t>Nikoli vol. 69</t>
  </si>
  <si>
    <t>nuritwin</t>
  </si>
  <si>
    <t>Nuritwin</t>
  </si>
  <si>
    <t>涂黑成对</t>
  </si>
  <si>
    <t>在每个区域内涂黑恰好两组连通的格子，使得这两组格子面积相等且不相邻，且所有涂黑的格子连通成一个整体。不能有全部涂黑的2×2结构。数字表示其所在区域内一个涂黑格连通组的面积。</t>
  </si>
  <si>
    <t>Sigmit64, COL</t>
  </si>
  <si>
    <t>Nikoli vol. 186</t>
  </si>
  <si>
    <t>aquapelago</t>
  </si>
  <si>
    <t>Aquapelago</t>
  </si>
  <si>
    <t>千岛湖</t>
  </si>
  <si>
    <t>涂黑一些格子，使得涂黑的格子之间不相邻，且留白的格子连通成一个整体。不能有全部留白的2×2结构。数字所在的格子必须涂黑。数字表示其所在的对角连通的一组涂黑格的格数，包括格子本身。</t>
  </si>
  <si>
    <t>Walker Anderson</t>
  </si>
  <si>
    <t>context</t>
  </si>
  <si>
    <t>Context</t>
  </si>
  <si>
    <t>黑斜白邻</t>
  </si>
  <si>
    <t>涂黑一些格子，使得涂黑的格子之间不相邻，且留白的格子连通成一个整体。在留白格内的数字表示和此格相邻的涂黑格的个数。这些提示数在涂黑格里则表示和此格接触（但不相邻）的涂黑格的个数。</t>
  </si>
  <si>
    <t>WPC2024IB, 有删改</t>
  </si>
  <si>
    <t>RSP</t>
  </si>
  <si>
    <t>cave</t>
  </si>
  <si>
    <t>Cave</t>
  </si>
  <si>
    <t>山洞</t>
  </si>
  <si>
    <t>涂黑一些格子，使得所有涂黑的格子都能沿涂黑格横竖连通到盘面边界，且留白的格子连通成一个整体。数字必须在留白格里，并表示此格横竖能够直接连接到且不被涂黑格阻挡的留白格个数，包括此格本身。</t>
  </si>
  <si>
    <t>改自Kurodoko</t>
  </si>
  <si>
    <t>Nikoli vol. 60</t>
  </si>
  <si>
    <t>guidearrow</t>
  </si>
  <si>
    <t>Guide Arrow</t>
  </si>
  <si>
    <t>指引箭头</t>
  </si>
  <si>
    <t>涂黑一些格子，使得涂黑的格子之间不相邻，且留白的格子连通成一个整体。留白格不能形成回路（包括2×2结构）。箭头表示从此格出发，在不经过涂黑格也不倒退的情况下，能够走到星星的路径的唯一方向。</t>
  </si>
  <si>
    <t>ayeheya</t>
  </si>
  <si>
    <t>Ayeheya</t>
  </si>
  <si>
    <t>对称数间</t>
  </si>
  <si>
    <t>涂黑一些格子，使得涂黑的格子之间不相邻，且留白的格子连通成一个整体。任意一横段或纵段留白格不能穿过两个以上区域边界。数字表示此区域内涂黑格的个数。所有区域的涂黑情况必须满足180°旋转对称。</t>
  </si>
  <si>
    <t>见Heyawake, 增加一句</t>
  </si>
  <si>
    <t>Heyawake写作回文</t>
  </si>
  <si>
    <t>oasis</t>
  </si>
  <si>
    <t>Oasis</t>
  </si>
  <si>
    <t>绿洲</t>
  </si>
  <si>
    <t>涂黑一些格子，使得涂黑的格子之间不相邻，且留白的格子连通成一个整体。不能有全部留白的2×2结构。有白圈的格子必须留白。白圈里的数字表示从此格出发，在只经过空白格的情况下，可以走到的白圈个数。</t>
  </si>
  <si>
    <t>November, 有修改</t>
  </si>
  <si>
    <t>Matej Uher</t>
  </si>
  <si>
    <t>nurimisaki</t>
  </si>
  <si>
    <t>Nurimisaki</t>
  </si>
  <si>
    <t>数岬</t>
  </si>
  <si>
    <t>涂黑一些空格，使得所有留白的格子连通成一个整体，且没有全部涂黑或者全部留白的2×2结构。圆圈标记了所有恰好只和另一个留白格相邻的留白格。圆圈里的数字表示此格横竖能够直接连接到且不被涂黑格阻挡的留白格个数，包括此格本身。</t>
  </si>
  <si>
    <t>Nikoli vol. 163</t>
  </si>
  <si>
    <t>PC, janko</t>
  </si>
  <si>
    <t>sashikabe</t>
  </si>
  <si>
    <t>Sashikabe</t>
  </si>
  <si>
    <t>曲尺数墙</t>
  </si>
  <si>
    <t>涂黑一些空格，使得所有涂黑的格子连通成一个整体，且没有全部涂黑的2×2结构。每一组连通的留白格必须是宽度为一的L形区域。圆圈必须在L形留白区域内转弯的位置，而箭头则必须在留白区域的一端，指向转弯的位置。圆圈里的数字表示其所在留白区域的面积。</t>
  </si>
  <si>
    <t>改自Nurikabe+Sashigane</t>
  </si>
  <si>
    <t>Grant Fikes</t>
  </si>
  <si>
    <t>oneroom</t>
  </si>
  <si>
    <t>One Room One Door</t>
  </si>
  <si>
    <t>单房门</t>
  </si>
  <si>
    <t>涂黑一些格子，使得涂黑的格子之间不相邻，且留白的格子连通成一个整体。每个区域中的留白格也需要连通成一个整体。数字表示此区域内涂黑格的个数。对于任意两个相邻的区域，不能有超过一对相邻留白格穿过它们相邻的边界。（也就是说，每两个“房间”至多有一扇“门”沟通）。</t>
  </si>
  <si>
    <t>Nikoli vol. 169</t>
  </si>
  <si>
    <t>cts</t>
  </si>
  <si>
    <t>Cross the Streams</t>
  </si>
  <si>
    <t>过河</t>
  </si>
  <si>
    <t>涂黑一些空格，使得所有涂黑的格子连通成一个整体，且没有全部涂黑的2×2结构。盘面外的数字依次表示此行或此列中每一段连续涂黑格的长度。问号可以表示任何单个提示数，而星号可以表示任何个连续的提示数（包括0个）。作为特例，一个单独的“0”表示此行或此列没有涂黑格。</t>
  </si>
  <si>
    <t>coral</t>
  </si>
  <si>
    <t>Coral</t>
  </si>
  <si>
    <t>珊瑚</t>
  </si>
  <si>
    <t>涂黑一些格子，使得所有涂黑的格子连通成一个整体，且留白的格子连通到边界。涂黑的格子不能形成2×2的区域。盘面外的数字（如果有）表示此行或此列中每一段连续涂黑格的长度，数字之间无顺序要求。问号可以表示任何单个提示数。作为特例，一个单独的“0”表示此行或此列没有涂黑格。</t>
  </si>
  <si>
    <t>怎苏昂</t>
  </si>
  <si>
    <t>Zoltán Horváth</t>
  </si>
  <si>
    <t>tapa</t>
  </si>
  <si>
    <t>Tapa</t>
  </si>
  <si>
    <t>土派回路</t>
  </si>
  <si>
    <t>涂黑一些空格，使得所有涂黑的格子连通成一个整体，且没有全部涂黑的2×2结构。格内一个或多个数字表示和此格接触的（至多）八格中所有连续涂黑格段的长度，但不限定顺序。作为特例，一个单独的“0”表示没有和此格接触的涂黑格，而一个单独的问号（格内没有其他问号或数字）也可以代表“0”。</t>
  </si>
  <si>
    <t>Turkish Art Paint</t>
  </si>
  <si>
    <t>Serkan Yürekli</t>
  </si>
  <si>
    <t>nurimaze</t>
  </si>
  <si>
    <t>Nurimaze</t>
  </si>
  <si>
    <t>迷宫地图</t>
  </si>
  <si>
    <t>把一些空格涂黑，使得没有全部涂黑或者全部留白的2×2结构，而且每个区域要么全部涂黑要么全部留白。所有留白格必须连通成一个整体且不成环。（也就是说，在任意两个留白格之间必须有唯一一条通过相邻留白格连接两者且不重复通过同一格的路径。）圆圈表示此格在S格到G格之间的唯一路径上，而三角形表示此格不在这条唯一路径上。</t>
  </si>
  <si>
    <t>Nikoli vol. 145</t>
  </si>
  <si>
    <t>norinori</t>
  </si>
  <si>
    <t>Norinori</t>
  </si>
  <si>
    <t>海苔</t>
  </si>
  <si>
    <t>色块是海苔</t>
  </si>
  <si>
    <t>在每个区域内涂黑恰好两格，使得每一组涂黑的连通组恰好有两格。</t>
  </si>
  <si>
    <t>Nikoli vol. 124</t>
  </si>
  <si>
    <t>chocona</t>
  </si>
  <si>
    <t>Chocona</t>
  </si>
  <si>
    <t>巧克力</t>
  </si>
  <si>
    <t>色块是矩形</t>
  </si>
  <si>
    <t>涂黑一些格子，使得每组相连的涂黑格形状为长方形。数字表示该区域中涂黑的单元格数。</t>
  </si>
  <si>
    <t>Nikoli vol. 122</t>
  </si>
  <si>
    <t>box</t>
  </si>
  <si>
    <t>Box/Kakurasu</t>
  </si>
  <si>
    <t>方阵和</t>
  </si>
  <si>
    <t>见Aquarium</t>
  </si>
  <si>
    <t>涂黑一些空格，使得盘面外的数字等于此行或此列中涂黑格所在列号或行号（盘面外圆圈内的数字）的和。</t>
  </si>
  <si>
    <t>Nikoli vol. 24 = 1988</t>
  </si>
  <si>
    <t>tilepaint</t>
  </si>
  <si>
    <t>Tilepaint</t>
  </si>
  <si>
    <t>数瓦</t>
  </si>
  <si>
    <t>涂黑一些空格，使得每个区域要么全部涂黑要么全部留白。盘面外的数字表示此行或此列内涂黑格的个数。</t>
  </si>
  <si>
    <t>Nikoli vol. 53</t>
  </si>
  <si>
    <t>cbanana</t>
  </si>
  <si>
    <t>Choco Banana</t>
  </si>
  <si>
    <t>巧克力香蕉</t>
  </si>
  <si>
    <t>黑白规则交替</t>
  </si>
  <si>
    <t>涂黑一些格子，使得每个涂黑的连通组都是长方形，而每个留白的连通组都不是长方形。数字表示其所在的涂黑或留白的连通组的面积。</t>
  </si>
  <si>
    <t>bosnianroad</t>
  </si>
  <si>
    <t>Bosnian Road</t>
  </si>
  <si>
    <t>波斯尼亚路</t>
  </si>
  <si>
    <t>色块是一条路</t>
  </si>
  <si>
    <t>涂黑一些空格，使得所有涂黑的格子连通成一个不和自身接触的环。数字格不能涂黑。数字表示与此格接触的（至多）八格中的涂黑格个数。</t>
  </si>
  <si>
    <t>Dragan Tolomanoski</t>
  </si>
  <si>
    <t>hinge</t>
  </si>
  <si>
    <t>Hinge</t>
  </si>
  <si>
    <t>合页</t>
  </si>
  <si>
    <t>黑块被对称切</t>
  </si>
  <si>
    <t>涂黑一些格子，使得每一组连通的涂黑格恰好跨过一条连续的区域边界，并被其分隔为沿该区域边界对称的两部分。数字表示此区域内涂黑格的个数。</t>
  </si>
  <si>
    <t>Nikoli vol. 159</t>
  </si>
  <si>
    <t>snakeegg</t>
  </si>
  <si>
    <t>Snake Egg</t>
  </si>
  <si>
    <t>蛇蛋</t>
  </si>
  <si>
    <t>色块是一条蛇</t>
  </si>
  <si>
    <t>涂黑一条宽度为一的蛇，使得每一组留白的连通组格数与盘面外给出的数一一对应。黑圈表示此格是蛇的一端。数字表示其所在的留白的连通组格数。</t>
  </si>
  <si>
    <t>yinyang</t>
  </si>
  <si>
    <t>Yin-Yang</t>
  </si>
  <si>
    <t>阴阳</t>
  </si>
  <si>
    <t>在盘面内每个格子放入一个黑色圆圈或者白色圆圈，使得黑色圆圈和白色圆圈分别横竖连通为一个整体。黑色圆圈和白色圆圈均不形成2×2的区域。</t>
  </si>
  <si>
    <t>Minano Sakai</t>
  </si>
  <si>
    <t>shakashaka</t>
  </si>
  <si>
    <t>Shakashaka</t>
  </si>
  <si>
    <t>摇啊摇</t>
  </si>
  <si>
    <t>涂黑一些空格的一半（一个等腰直角三角形），使得所有留白的区域都是横平竖直或者对角方向的长方形。黑格里的数字表示与此格相邻的涂黑一半的空格数。</t>
  </si>
  <si>
    <t>Nikoli vol. 123</t>
  </si>
  <si>
    <t>dominion</t>
  </si>
  <si>
    <t>Dominion</t>
  </si>
  <si>
    <t>多米诺分区</t>
  </si>
  <si>
    <t>色块是多米诺</t>
  </si>
  <si>
    <t>涂黑一些1×2的长方形，将盘面分为若干个留白的区域。涂黑的长方形不能相邻。字母格不能涂黑。每个区域有且仅有一种字母，相同的字母都在同一个区域。</t>
  </si>
  <si>
    <t>snake</t>
  </si>
  <si>
    <t>Snake</t>
  </si>
  <si>
    <t>数蛇</t>
  </si>
  <si>
    <t>涂黑一条宽度为一且不和自身接触的蛇。黑圈表示此格是蛇的一端，白圈表示此格是蛇身的一部分（但不是一端）。盘面外的数字表示此行或此列内涂黑格的个数。</t>
  </si>
  <si>
    <t>Léon Balmaekers~</t>
  </si>
  <si>
    <t>1990~</t>
  </si>
  <si>
    <t>WPCwiki</t>
  </si>
  <si>
    <t>circlesquare</t>
  </si>
  <si>
    <t>Circles and Squares</t>
  </si>
  <si>
    <t>方圆</t>
  </si>
  <si>
    <t>色块是方形</t>
  </si>
  <si>
    <t>涂黑一些空格，使得所有涂黑的格子连通成一个整体，且没有全部涂黑的2×2结构。有黑圈的格子必须涂黑，有白圈的格子必须留白。每一组留白的连通组都是正方形。</t>
  </si>
  <si>
    <t>Anonymus25</t>
  </si>
  <si>
    <t>tetrochain</t>
  </si>
  <si>
    <t>Tetro Chain-Y</t>
  </si>
  <si>
    <t>四格骨牌链(指)</t>
  </si>
  <si>
    <t>色块是4mino</t>
  </si>
  <si>
    <t>涂黑一些格子，使得每个涂黑的连通组均为四格骨牌。所有四格骨牌对角连通，任意两个对角相邻的四格骨牌不能全等。数字格不能涂黑。数字表示相应方向上的黑格个数。</t>
  </si>
  <si>
    <t>Nikoli vol. 181</t>
  </si>
  <si>
    <t>go</t>
  </si>
  <si>
    <t>Go</t>
  </si>
  <si>
    <t>围棋</t>
  </si>
  <si>
    <t>涂黑一些格子，使得有黑圈的格子都涂黑，有白圈的格子都留白。圆圈里的数字表示与其所在的涂黑或留白的连通组相邻且颜色相反的总格数（也就是这一片“棋子”的“气”的数量）。</t>
  </si>
  <si>
    <t>norinuri</t>
  </si>
  <si>
    <t>Norinuri</t>
  </si>
  <si>
    <t>海苔墙</t>
  </si>
  <si>
    <t>涂黑一些1×2的长方形，将盘面分为若干个留白的区域。涂黑的长方形不能相邻。数字格不能涂黑。每一组连通的留白格必须恰好包含一个数字。数字表示其所在的留白的连通组格数。</t>
  </si>
  <si>
    <t>Dominion+Nurikabe</t>
  </si>
  <si>
    <t>diamond</t>
  </si>
  <si>
    <t>Diamond Chain</t>
  </si>
  <si>
    <t>钻石链</t>
  </si>
  <si>
    <t>色块是钻石</t>
  </si>
  <si>
    <t>涂黑一些2×2的菱形（斜正方形），使得所有菱形与已经给出的黑格一起对角连通成一个整体。菱形不能与黑格或其他菱形重叠或有公共边。黑格中的数字表示有多少个菱形与此格共顶点。</t>
  </si>
  <si>
    <t>wittgen</t>
  </si>
  <si>
    <t>Wittgenstein Briquet</t>
  </si>
  <si>
    <t>三格长桌</t>
  </si>
  <si>
    <t>色块是桌子</t>
  </si>
  <si>
    <t>在盘面内放置一些互不重叠的1×3的长方形（表示桌子）。桌子不能覆盖数字格。数字表示与之相邻的（至多）四格中被桌子覆盖的格子的个数。所有不被桌子覆盖的格子需要连通成一个整体。</t>
  </si>
  <si>
    <t>nuribou</t>
  </si>
  <si>
    <t>Nuribou</t>
  </si>
  <si>
    <t>数壁</t>
  </si>
  <si>
    <t>涂黑一些空格，使得每一组连通的留白格恰好包含一个数字。每一组连通的涂黑格必须是一个长或宽为一的长方形，而且互相接触的两组涂黑格面积不能相同。数字表示其所在的留白的连通组格数。</t>
  </si>
  <si>
    <t>Nikoli vol. 68</t>
  </si>
  <si>
    <t>isowatari</t>
  </si>
  <si>
    <t>Isowatari</t>
  </si>
  <si>
    <t>渡池石块</t>
  </si>
  <si>
    <t>色块是nmino</t>
  </si>
  <si>
    <t>涂黑一些格子，使得每个涂黑的连通组均为N格骨牌（其中N是盘面右上角给定的数），且留白的格子连通成一个整体。有黑圈的格子必须涂黑，有白圈的格子必须留白。不能有全部留白的2×2结构。</t>
  </si>
  <si>
    <t>磯渡り</t>
  </si>
  <si>
    <t>Jeffrey Bardon (IHNN)</t>
  </si>
  <si>
    <t>lightshadow</t>
  </si>
  <si>
    <t>Light and Shadow</t>
  </si>
  <si>
    <t>黑白分明</t>
  </si>
  <si>
    <t>涂黑或涂白所有格子，使得每一组连通的涂黑格中恰有一个黑数字（且没有白数字），而每一组连通的涂白格中恰有一个白数字（且没有黑数字）。圆圈里的数字表示其所在的涂黑或涂白的连通组的面积。</t>
  </si>
  <si>
    <t>mochikoro</t>
  </si>
  <si>
    <t>Mochikoro</t>
  </si>
  <si>
    <t>藕断丝连</t>
  </si>
  <si>
    <t>涂黑一些空格，使得没有全部涂黑的2×2结构。所有留白格必须对角连通成一个整体，且每一组连通的留白格必须是一个长方形。每一组连通的留白格至多包含一个数字。数字表示其所在的留白的连通组格数。</t>
  </si>
  <si>
    <t>Nikoli vol. 100</t>
  </si>
  <si>
    <t>cornerch</t>
  </si>
  <si>
    <t>Corner Chain</t>
  </si>
  <si>
    <t>见cbanana</t>
  </si>
  <si>
    <t>涂黑一些空格，使得所有留白格对角连通成一个整体。数字格不能涂黑。数字表示其所在的留白的连通组的面积。如果一个留白的连通组面积为偶数，则它必须是长方形；如果它的面积为奇数，则它不能是长方形。</t>
  </si>
  <si>
    <t>November, COL</t>
  </si>
  <si>
    <t>Nikoli vol. 191</t>
  </si>
  <si>
    <t>tasquare</t>
  </si>
  <si>
    <t>Tasquare</t>
  </si>
  <si>
    <t>正方放置</t>
  </si>
  <si>
    <t>涂黑一些格子，使得每一组涂黑的连通组都是正方形，且留白的格子连通成一个整体。有白色正方形的格子必须留白，且需要和至少一个涂黑正方形相邻。白色正方形里的数字表示与之相邻的所有涂黑正方形的面积之和。</t>
  </si>
  <si>
    <t>antmill</t>
  </si>
  <si>
    <t>Ant Mill</t>
  </si>
  <si>
    <t>蚂蚁怪圈</t>
  </si>
  <si>
    <t>色块是蚂蚁</t>
  </si>
  <si>
    <t>涂黑一些1×2的长方形，每个涂黑的长方形必须和恰好另外两个涂黑的长方形接触，而且所有长方形必须对角连通成一个整体（形成一个环）。被□覆盖的两个格子要么都涂黑，要么都不涂黑。被×覆盖的两个格子必须一个涂黑，另一个不涂黑。</t>
  </si>
  <si>
    <t>mochinyoro</t>
  </si>
  <si>
    <t>Mochinyoro</t>
  </si>
  <si>
    <t>藕断丝弯</t>
  </si>
  <si>
    <t>见Mochikoro</t>
  </si>
  <si>
    <t>涂黑一些空格，使得没有全部涂黑的2×2结构。所有留白格必须对角连通成一个整体，且每一组连通的留白格必须是一个长方形。每一组连通的留白格至多包含一个数字。数字表示其所在的留白的连通组格数。任意一组连通的涂黑格都不能是长方形。</t>
  </si>
  <si>
    <t>改自Mochikoro</t>
  </si>
  <si>
    <t>binairo</t>
  </si>
  <si>
    <t>Binairo</t>
  </si>
  <si>
    <t>横竖无三</t>
  </si>
  <si>
    <t>涂黑一些空格，使得没有全部涂黑或者全部留白的1×3或3×1的结构。每行和每列中必须恰有一半的格子涂黑。任意两行（从左到右）的涂黑情况必须不同，任意两列（从上到下）的涂黑情况也必须不同。有黑圈的格子必须涂黑，有白圈的格子必须留白。</t>
  </si>
  <si>
    <t>scrin</t>
  </si>
  <si>
    <t>Scrin</t>
  </si>
  <si>
    <t>方形回路</t>
  </si>
  <si>
    <t>给一些格子涂色，使得每一组涂色的连通组都是长方形且至多包含一个圆圈。所有圆圈必须在涂色格内。每个涂色的长方形必须和恰好另外两个涂色的长方形接触，而且所有长方形必须对角连通成一个整体（形成一个环）。圈内的数字表示其所在的长方形的面积。</t>
  </si>
  <si>
    <t>WPC2024IB, 有修改</t>
  </si>
  <si>
    <t>tetrochaink</t>
  </si>
  <si>
    <t>Tetro Chain-K</t>
  </si>
  <si>
    <t>四格骨牌链(暗)</t>
  </si>
  <si>
    <t>涂黑一些格子，使得每个涂黑的连通组均为四格骨牌。所有四格骨牌对角连通，任意两个对角相邻的四格骨牌不能全等。盘面内的点提示了其所接触的（至多）四格中涂黑格和留白格哪种更多：白色表示留白格更多，黑色表示涂黑格更多，灰色表示涂黑格和留白格一样多。</t>
  </si>
  <si>
    <t>改自Tetro Chain-Y</t>
  </si>
  <si>
    <t>Nikoli vol. 192</t>
  </si>
  <si>
    <t>lookair</t>
  </si>
  <si>
    <t>Look-Air</t>
  </si>
  <si>
    <t>观云</t>
  </si>
  <si>
    <t>涂黑一些格子，使得每一组涂黑的连通组都是正方形。在每行和每列内，任意两个仅由（至少一个）留白格分隔的涂黑格不能在两个全等的正方形里（也就是说任意两个全等的正方形都不能在对方的“视线”内）。数字表示此格以及与其相邻的（至多）四格中涂黑格的个数。</t>
  </si>
  <si>
    <t>Nikoli vol. 136</t>
  </si>
  <si>
    <t>clouds</t>
  </si>
  <si>
    <t>Clouds</t>
  </si>
  <si>
    <t>云团</t>
  </si>
  <si>
    <t>涂黑一些格子，使得每组连通的黑格都是一个长和宽都至少为二的长方形（代表一个云团）。云团之间不能接触。盘面外的数字表示此行或此列内涂黑格的个数。一些格内的内容可能已经给出：带圆角的黑块表示必须是云团的一角，不带圆角的黑块表示是云团的一部分但不是一角，×表示必须留白。</t>
  </si>
  <si>
    <t>WPC</t>
  </si>
  <si>
    <t>aquarium</t>
  </si>
  <si>
    <t>Aquarium</t>
  </si>
  <si>
    <t>水族馆</t>
  </si>
  <si>
    <t>色块是水体</t>
  </si>
  <si>
    <t>涂黑一些格子（代表水），使得每个区域内的水体都处于稳定状态。准确来说，在中间没有粗格线的情况下，留白的格子和涂黑的格子只能纵向相邻且留白格在上（两格之间横向的边界称为“水面”），而区域内每一组涂黑的连通组的水面必须在同一高度。盘面外的数字表示此行或此列内涂黑格的个数。</t>
  </si>
  <si>
    <t>sansaroad</t>
  </si>
  <si>
    <t>Sansa Road</t>
  </si>
  <si>
    <t>三叉路口</t>
  </si>
  <si>
    <t>涂黑一些空格，使得所有留白的格子连通成一个整体，且没有全部留白的2×2结构。盘面内的点提示了其所接触的（至多）四格中涂黑格和留白格哪种更多：白色表示留白格更多，黑色表示涂黑格更多，灰色表示涂黑格和留白格一样多。有白色三角形的格子（代表三叉路口）必须留白，且需要恰和三个留白格相邻。其余的留白格都必须恰和两个留白格相邻。</t>
  </si>
  <si>
    <t>COL</t>
  </si>
  <si>
    <t>kurotto</t>
  </si>
  <si>
    <t>Kurotto</t>
  </si>
  <si>
    <t>凝块</t>
  </si>
  <si>
    <t>涂黑III</t>
  </si>
  <si>
    <t>黑块间求和</t>
  </si>
  <si>
    <t>涂黑一些空格。数字表示与此格相邻的所有涂黑的连通组的总面积。</t>
  </si>
  <si>
    <t>Nikoli vol. 138</t>
  </si>
  <si>
    <t>mines</t>
  </si>
  <si>
    <t>Minesweeper</t>
  </si>
  <si>
    <t>扫雷</t>
  </si>
  <si>
    <t>放置</t>
  </si>
  <si>
    <t>在一些空格里放一枚地雷。数字表示在所有与此格接触的格中的总雷数。</t>
  </si>
  <si>
    <t>nonogram</t>
  </si>
  <si>
    <t>Nonogram</t>
  </si>
  <si>
    <t>数织</t>
  </si>
  <si>
    <t>见Minesweeper</t>
  </si>
  <si>
    <t>涂黑一些空格，使得盘面外的数字依次表示此行或此列中每一段连续涂黑格的长度。</t>
  </si>
  <si>
    <t>Non Ishida | Tetsuya Nishio</t>
  </si>
  <si>
    <t>pentatouch</t>
  </si>
  <si>
    <t>Penta Touch</t>
  </si>
  <si>
    <t>把给出的形状放入盘面，使得不同形状在且仅在被标记出的格点上对角相邻。形状可以旋转或翻转。</t>
  </si>
  <si>
    <t>改自Kissing</t>
  </si>
  <si>
    <t>batten</t>
  </si>
  <si>
    <t>Battenberg Painting</t>
  </si>
  <si>
    <t>双色蛋糕</t>
  </si>
  <si>
    <t>涂黑一些格子，使得盘面外的数字表示此行或此列内涂黑格的个数。所有呈黑白相间棋盘格图案的2×2区域都已被标记。</t>
  </si>
  <si>
    <t>Aquarium + 日历译自Eric Fox</t>
  </si>
  <si>
    <t>Andrey Bogdanov</t>
  </si>
  <si>
    <t>kissing</t>
  </si>
  <si>
    <t>Kissing Polyominoes</t>
  </si>
  <si>
    <t>把给出的形状放入盘面，使得不同形状在且仅在被标记出的边界相邻。形状可以旋转或翻转。×表示此格不能被形状覆盖。</t>
  </si>
  <si>
    <t>starbattle</t>
  </si>
  <si>
    <t>Star Battle</t>
  </si>
  <si>
    <t>星战</t>
  </si>
  <si>
    <t>在一些格子内放置一颗星，使得每行、列、区域内的星数等于盘面外给出的数字。任意两颗星不能放在互相接触的格子内。</t>
  </si>
  <si>
    <t>Hns Eendebak</t>
  </si>
  <si>
    <t>mrtile</t>
  </si>
  <si>
    <t>Mirroring Tile</t>
  </si>
  <si>
    <t>复制瓦片</t>
  </si>
  <si>
    <t>黑块间全等</t>
  </si>
  <si>
    <t>涂黑一些空格。数字表示其所在的涂黑的连通组的面积。每个涂黑的连通组需要与另一个与其全等的涂黑的连通组对角相邻。</t>
  </si>
  <si>
    <t>Nikoli vol. 172</t>
  </si>
  <si>
    <t>ququ</t>
  </si>
  <si>
    <t>Ququ</t>
  </si>
  <si>
    <t>区区</t>
  </si>
  <si>
    <t>黑块间不全等</t>
  </si>
  <si>
    <t>涂黑一些格子，使得每一组连通的留白格恰好包含一个数字。数字表示其所在的留白的连通组格数。对角接触的涂黑的连通组不能以任何方式全等。</t>
  </si>
  <si>
    <t>shimaguni</t>
  </si>
  <si>
    <t>Shimaguni</t>
  </si>
  <si>
    <t>岛国</t>
  </si>
  <si>
    <t>黑块间不相等</t>
  </si>
  <si>
    <t>在每个区域内涂黑恰好一组连通的格子，使得不同区域内涂黑的连通组不相邻。数字表示区域内涂黑格的个数。相邻区域内涂黑格的个数不能相同。</t>
  </si>
  <si>
    <t>島国</t>
  </si>
  <si>
    <t>Nikoli vol. 117</t>
  </si>
  <si>
    <t>tents</t>
  </si>
  <si>
    <t>Tents</t>
  </si>
  <si>
    <t>帐篷</t>
  </si>
  <si>
    <t>在盘面中的每颗树相邻的格子之一放置一顶帐篷。任意两顶帐篷不能放在同一格或者互相接触的格子内。盘面外的数字表示此行或此列内帐篷的个数。</t>
  </si>
  <si>
    <t>Leon Balmaekers</t>
  </si>
  <si>
    <t>kuroclone</t>
  </si>
  <si>
    <t>Kuroclone</t>
  </si>
  <si>
    <t>黑块克隆</t>
  </si>
  <si>
    <t>在每个区域内涂黑恰好两组连通的格子，使得这两组格子全等且不相邻。数字格不能涂黑。涂黑格不能隔区域边界相邻。数字表示其指向的相邻格所在的涂黑格连通组的面积。</t>
  </si>
  <si>
    <t>Nikoli vol. 153</t>
  </si>
  <si>
    <t>magnets</t>
  </si>
  <si>
    <t>Magnets</t>
  </si>
  <si>
    <t>磁铁</t>
  </si>
  <si>
    <t>在主盘面内一些两格的区域里放置一个加号和一个减号（每格一个符号），使得任意两个相邻的格子里不包含相同的符号。盘面外的数字表示此行或此列内加号或减号的个数。</t>
  </si>
  <si>
    <t>Jaroslav Müller</t>
  </si>
  <si>
    <t>gaps</t>
  </si>
  <si>
    <t>Gaps</t>
  </si>
  <si>
    <t>空隙</t>
  </si>
  <si>
    <t>在一些格子里放置一颗星，使得每行和每列都分别有两颗星。任意两颗星不能放在互相接触的格子内。盘面外的数字表示此行或此列内两颗星之间的空格数（不包括两颗星本身）。</t>
  </si>
  <si>
    <t>Erich Friedman</t>
  </si>
  <si>
    <t>cocktail</t>
  </si>
  <si>
    <t>Cocktail Lamp</t>
  </si>
  <si>
    <t>鸡尾酒灯</t>
  </si>
  <si>
    <t>黑块对角连通</t>
  </si>
  <si>
    <t>在每个区域内涂黑至多一组连通的格子，使得不同区域内涂黑的连通组不相邻。数字表示区域内涂黑格的个数。所有涂黑格必须对角连通成一个整体。不能有全部涂黑的2×2结构。</t>
  </si>
  <si>
    <t>pentopia</t>
  </si>
  <si>
    <t>Pentopia</t>
  </si>
  <si>
    <t>近视五格</t>
  </si>
  <si>
    <t>把给出的形状中的一部分（不一定是全部）放入盘面，使得任意两个形状不接触（对角接触也不行）。有箭头的格子不能被覆盖。格子里的箭头指向所有横竖方向中离此格最近的被覆盖的格子。</t>
  </si>
  <si>
    <t>WPC2024IB, 增加一句</t>
  </si>
  <si>
    <t>Bram de Laat</t>
  </si>
  <si>
    <t>tawa</t>
  </si>
  <si>
    <t>Tawamurenga</t>
  </si>
  <si>
    <t>砖墙</t>
  </si>
  <si>
    <t>涂黑一些格子，使得没有同一行内连续三个格子都被涂黑。每个涂黑格（只要它不在最后一行）的下面至少有另一个涂黑格。数字格不能涂黑。数字表示与之相邻的（至多）六格中涂黑格的个数。</t>
  </si>
  <si>
    <t>Nikoli vol. 127</t>
  </si>
  <si>
    <t>dosufuwa</t>
  </si>
  <si>
    <t>Dosun-Fuwari</t>
  </si>
  <si>
    <t>气球铅球</t>
  </si>
  <si>
    <t>在每个区域中放置一个气球（○）和一个铅球（●）。铅球只能放在盘面的底部，黑色单元格的上面，或者另一个铅球的上面。气球只能放在盘面的顶部，黑色单元格的下面，或者另一个气球的下面。</t>
  </si>
  <si>
    <t>stostone</t>
  </si>
  <si>
    <t>Stostone</t>
  </si>
  <si>
    <t>垒石</t>
  </si>
  <si>
    <t>在每个区域内涂黑恰好一组连通的格子，使得不同区域内涂黑的连通组不相邻。数字表示区域内涂黑格的个数。如果每一组涂黑格（像一块石头一样）不改变形状地垂直下落，它们必须恰好覆盖盘面的下半部分。</t>
  </si>
  <si>
    <t>Nikoli vol. 156</t>
  </si>
  <si>
    <t>statuepark</t>
  </si>
  <si>
    <t>Statue Park</t>
  </si>
  <si>
    <t>雕像公园</t>
  </si>
  <si>
    <t>把给出的形状放入盘面，使得任意两个形状不重叠也不相邻（但可以对角接触），而且剩下的没有被覆盖的格子连通成一个整体。形状可以旋转或翻转。有黑圈的格子必须被某个形状覆盖，而有白圈的格子不能被覆盖。</t>
  </si>
  <si>
    <t>Palmer Mebane</t>
  </si>
  <si>
    <t>akari</t>
  </si>
  <si>
    <t>Akari</t>
  </si>
  <si>
    <t>美术馆</t>
  </si>
  <si>
    <t>在一些空格内放置一个灯泡，以照亮所有空格。格子里的灯泡可以照亮所有从此格横竖能够直接连接到且不被黑格阻挡的空格，包括此格本身。任意两个灯泡不能互相照亮。黑格里的数字表示与之相邻的（至多）四格中的灯泡个数。</t>
  </si>
  <si>
    <t>灯</t>
  </si>
  <si>
    <t>Nikoli vol. 95</t>
  </si>
  <si>
    <t>battleship</t>
  </si>
  <si>
    <t>Battleships</t>
  </si>
  <si>
    <t>战舰</t>
  </si>
  <si>
    <t>把给出的形状（代表船）放入盘面，使得任意两条船不重叠也不接触。盘面外的数字表示此行或此列内有船的格数。有一些船的部分可能已经在盘面里给出，其中所有不和其他船格相邻的角用圆角表示。水波符号表示此格不能有船。</t>
  </si>
  <si>
    <t>Jaime Poniachik</t>
  </si>
  <si>
    <t>pencils</t>
  </si>
  <si>
    <t>Pencils</t>
  </si>
  <si>
    <t>铅笔</t>
  </si>
  <si>
    <t>在盘面中放入一些铅笔。一根铅笔依次由一个1×N的笔杆、一个1×1的笔头、一条从笔尖开始，由N个单位线段相连而成的笔迹构成。铅笔（包括它们的笔迹）必须互不重叠地覆盖盘面上的所有格子。数字必须位于笔杆内，并且表示笔杆的长度。</t>
  </si>
  <si>
    <t>evolmino</t>
  </si>
  <si>
    <t>Evolmino</t>
  </si>
  <si>
    <t>生长方块</t>
  </si>
  <si>
    <t>黑块间做差</t>
  </si>
  <si>
    <t>在一些空格内填入正方形，使得每一组连通的正方形都恰有一个正方形位于一条箭头上。每条箭头经过至少两组这样的连通正方形。在一条箭头上，每一组正方形（若不是第一组）必须与前一组形状完全相同（不允许旋转或翻转），并且再多出一个正方形。</t>
  </si>
  <si>
    <t>interbd</t>
  </si>
  <si>
    <t>International Borders</t>
  </si>
  <si>
    <t>国界线</t>
  </si>
  <si>
    <t>黑块们界定区域</t>
  </si>
  <si>
    <t>涂黑一些格子，使得每个留白的连通组都包含且仅包含某一种颜色的所有提示。提示格不能涂黑。数字表示与此格相邻的（至多）四格中涂黑格的个数。每个涂黑格必须至少和两个留白的连通组相邻（也就是说，每个涂黑格都是某条“国界线”的一部分）。</t>
  </si>
  <si>
    <t>tren</t>
  </si>
  <si>
    <t>Tren</t>
  </si>
  <si>
    <t>停车场</t>
  </si>
  <si>
    <t>在盘面里放置一些互不重叠的1×2或1×3的长方形（表示车）。每辆车必须恰好包含一个数字，而每个数字也必须被一辆车覆盖。每辆车可以按照与它的两条长边平行的方向移动。车里的数字表示这辆车在不和其他车重叠的情况下可以前后移动的总格数。</t>
  </si>
  <si>
    <t>Shinichi Aoki</t>
  </si>
  <si>
    <t>chainedb</t>
  </si>
  <si>
    <t>Chained Block</t>
  </si>
  <si>
    <t>区块链</t>
  </si>
  <si>
    <t>涂黑一些格子，使得每个涂黑的连通组恰好包含一个数字。数字表示其所在的涂黑的连通组的面积，问号可以表示任意数字。多个对角接触的涂黑连通组构成“链”，每个涂黑连通组都必须是某个“链”的一部分。同一个“链“中的两个涂黑连通组不能以任何方式全等。</t>
  </si>
  <si>
    <t>martini</t>
  </si>
  <si>
    <t>Martini</t>
  </si>
  <si>
    <t>马提尼</t>
  </si>
  <si>
    <t>在每个区域内涂黑至多一组连通的格子，使得不同区域内涂黑的连通组不相邻。所有涂黑格必须对角连通成一个整体。有黑圈的格子必须涂黑，有白圈的格子必须留白。白圈里的数字表示其所在的留白的连通组中的白圈个数，包括自身（这个连通组可能横跨多个区域）。</t>
  </si>
  <si>
    <t>Cocktail Lamp 的派生, 黑圈形似橄榄</t>
  </si>
  <si>
    <t>kinkonkan</t>
  </si>
  <si>
    <t>Kin-Kon-Kan</t>
  </si>
  <si>
    <t>金刚镜</t>
  </si>
  <si>
    <t>在一些格子内填入一条对角线（代表镜子），使得每个区域恰有一面镜子。光束从网格外的字母出发垂直射入网格，并在遇到镜子时发生反射。从某个字母出发的光束必须在另一处相同字母的位置结束。数字表示光束被镜子反射的次数。每一面镜子至少被一束光使用一次。</t>
  </si>
  <si>
    <t>日语拟声词</t>
  </si>
  <si>
    <t>moonlight</t>
  </si>
  <si>
    <t>Moonlight</t>
  </si>
  <si>
    <t>星光</t>
  </si>
  <si>
    <t>在一些空格内放置一颗星或一朵云，使得每行和每列内的图形数量等于盘面外给出的列表。部分格内已放入了黑色圆圈（代表行星）。格子里的星可以照亮所有从此格横竖能够直接连接到且不被其他图形阻挡的行星。当行星被照亮时，其受照亮方向的两个象限呈白色。×表示此格不放置任何图形。</t>
  </si>
  <si>
    <t>bosanowa</t>
  </si>
  <si>
    <t>Bosanowa</t>
  </si>
  <si>
    <t>邻差和</t>
  </si>
  <si>
    <t>在每个圆圈中填入一个正整数，使得每个数等于自身与横竖相邻的数之差的总和。</t>
  </si>
  <si>
    <t>Nikoli vol. 119</t>
  </si>
  <si>
    <t>gokigen</t>
  </si>
  <si>
    <t>Slant</t>
  </si>
  <si>
    <t>斜线迷宫</t>
  </si>
  <si>
    <t>在每个格子中画一条对角线，使得对角线不形成环。圈中的数字表示从这个圈引出的斜线数量。</t>
  </si>
  <si>
    <t>Nikoli vol. 104</t>
  </si>
  <si>
    <t>simplegako</t>
  </si>
  <si>
    <t>Simple Gako</t>
  </si>
  <si>
    <t>简单计数</t>
  </si>
  <si>
    <t>在每个空格里填数，使得每个数字等于其所在的行和列中包含这个数的总格数（包括此格本身）。</t>
  </si>
  <si>
    <t>putteria</t>
  </si>
  <si>
    <t>Putteria</t>
  </si>
  <si>
    <t>面积填写</t>
  </si>
  <si>
    <t>在每个区域中的一格填上等于该区域面积的数字。填有数字的格子不能有公共边。每行和每列不能有重复数字。</t>
  </si>
  <si>
    <t>Regulus50, 有小修改</t>
  </si>
  <si>
    <t>Nikoli vol. 54</t>
  </si>
  <si>
    <t>suguru</t>
  </si>
  <si>
    <t>Suguru/Capsules</t>
  </si>
  <si>
    <t>数组/胶囊</t>
  </si>
  <si>
    <t>在每个空格里填一个数，使得每个区域里包含数字1~N，其中N是这个区域的总格数。接触的格子里不能有相同的数字。</t>
  </si>
  <si>
    <t>WPC2024IB, 删除一句</t>
  </si>
  <si>
    <t>sudoku</t>
  </si>
  <si>
    <t>Sudoku</t>
  </si>
  <si>
    <t>数独</t>
  </si>
  <si>
    <t>在每个空格内填一个1~N的数（其中N是盘面的边长），使得1~N在每行、每列、每个粗线围成的宫内都恰好出现一次。</t>
  </si>
  <si>
    <t>WSPC选拔赛, 有修改</t>
  </si>
  <si>
    <t>Howard Garns</t>
  </si>
  <si>
    <t>meander</t>
  </si>
  <si>
    <t>Meandering Numbers</t>
  </si>
  <si>
    <t>蜿蜒</t>
  </si>
  <si>
    <t>在每个空格里填一个数，使得每个区域包含一条从1到N的横竖相连的链，其中N是这个区域的总格数。互相接触的格子里的数不能相同。</t>
  </si>
  <si>
    <t>改自Suguru</t>
  </si>
  <si>
    <t>Takei Daisuke</t>
  </si>
  <si>
    <t>blind</t>
  </si>
  <si>
    <t>Blind Spot</t>
  </si>
  <si>
    <t>盲点</t>
  </si>
  <si>
    <t>在每个区域中放置一个箭头（↑ ↓ ← → 之一），使得每行每列恰好出现四种箭头各一次。箭头不能指向另一个箭头，除非有粗线阻挡。</t>
  </si>
  <si>
    <t>fuzuli</t>
  </si>
  <si>
    <t>Fuzuli</t>
  </si>
  <si>
    <t>冗余</t>
  </si>
  <si>
    <t>在一些空格里填一个属于给出的列表中的数，使得每个数字在每行和每列都恰好出现一次。不能有全部填数的2×2结构。×表示此格不能填数。</t>
  </si>
  <si>
    <t>Cihan Altay</t>
  </si>
  <si>
    <t>doppelblock</t>
  </si>
  <si>
    <t>Doppelblock</t>
  </si>
  <si>
    <t>双黑格</t>
  </si>
  <si>
    <t>在格子内填入数字和黑格，使得每行每列均包含1~N-2和两个黑格（N为盘面边长）。盘面外的数字表示该行/列两个黑格之间的所有数字之和。</t>
  </si>
  <si>
    <t>PKUPC0, 有小修改</t>
  </si>
  <si>
    <t>JPC | Inaba Naoki</t>
  </si>
  <si>
    <t>2006 | 2008</t>
  </si>
  <si>
    <t>renban</t>
  </si>
  <si>
    <t>Renban-Madoguchi</t>
  </si>
  <si>
    <t>连番窗口</t>
  </si>
  <si>
    <t>在每个空格内填入一个正整数。每个区域内的所有数必须构成一个连续数字序列，顺序任意。被粗边框分隔的两个数之差必须等于分隔它们的边框的长度。</t>
  </si>
  <si>
    <t>連番窓口</t>
  </si>
  <si>
    <t>Nikoli vol. 128</t>
  </si>
  <si>
    <t>sukoro</t>
  </si>
  <si>
    <t>Sukoro</t>
  </si>
  <si>
    <t>数殖</t>
  </si>
  <si>
    <t>在一些空格里填数，使得所有有数字的格子连通成一个整体。每个数字必须等于与其相邻的（至多）四格中有数字的格数。相邻的格子里不能填相同的数字。</t>
  </si>
  <si>
    <t>Nikoli vol. 40</t>
  </si>
  <si>
    <t>goishi</t>
  </si>
  <si>
    <t>Goishi</t>
  </si>
  <si>
    <t>捡棋子</t>
  </si>
  <si>
    <t>从1开始在每颗棋子上标数，表示捡走棋子的顺序。连续两个被捡走的棋子必须同行或同列，且中间不能有未捡的棋子。捡棋子的过程中不允许180°掉头。</t>
  </si>
  <si>
    <t>kakuro</t>
  </si>
  <si>
    <t>Kakuro</t>
  </si>
  <si>
    <t>数和</t>
  </si>
  <si>
    <t>在每个空格内放置一个1~9之间的数码，使得每一段空格内的数码不重复。黑色三角形里的数字表示其（面对的）右方的横段或下方的纵段中所有数码之和。</t>
  </si>
  <si>
    <t>Jacob Funk</t>
  </si>
  <si>
    <t>easyasabc</t>
  </si>
  <si>
    <t>Easy as ABC</t>
  </si>
  <si>
    <t>简单字符</t>
  </si>
  <si>
    <t>在一些空格里填一个属于给出的列表中的字符，使得每个字符在每行和每列都恰好出现一次。盘面外的字符表示此行或此列中从这个方向看去遇到的第一个字符。</t>
  </si>
  <si>
    <t>Tetsuya Nishio</t>
  </si>
  <si>
    <t>hanare</t>
  </si>
  <si>
    <t>Hanare-gumi</t>
  </si>
  <si>
    <t>差距一致</t>
  </si>
  <si>
    <t>在每个区域中的一格填上等于该区域面积的数字。若两个数字在同一行或同一列，且它们之间没有其他数字，则它们之间必须恰有N个空格，其中N为这两数之差。</t>
  </si>
  <si>
    <t>Nikoli vol. 134</t>
  </si>
  <si>
    <t>r</t>
  </si>
  <si>
    <t>Renban</t>
  </si>
  <si>
    <t>连番</t>
  </si>
  <si>
    <t>在每个空格内填入一个1~N的数（其中N为盘面的边长），使得1~N在每行、每列都恰好出现一次。每个区域内的所有数必须构成一个连续数字序列，顺序任意。</t>
  </si>
  <si>
    <t>連番</t>
  </si>
  <si>
    <t>roma</t>
  </si>
  <si>
    <t>Roma</t>
  </si>
  <si>
    <t>罗马</t>
  </si>
  <si>
    <t>在每个空格中放置一个箭头（↑ ↓ ← → 之一），使得每个区域内的箭头各不相同。从任意一个带有箭头的格子开始，沿着箭头移动，最终一定可以到达一个黑圈。</t>
  </si>
  <si>
    <t>改自Arrow Flow</t>
  </si>
  <si>
    <t>Nikoli vol.131</t>
  </si>
  <si>
    <t>toichika</t>
  </si>
  <si>
    <t>Toichika</t>
  </si>
  <si>
    <t>山盟海誓</t>
  </si>
  <si>
    <t>在每个区域中放置一个箭头（↑ ↓ ← → 之一）。每个箭头都和另一个箭头配对，它们相互指向，它们之间不能有其他箭头。配对箭头所属的区域不能有公共边界。</t>
  </si>
  <si>
    <t>遠い誓い</t>
  </si>
  <si>
    <t>Nikoli vol. 129</t>
  </si>
  <si>
    <t>ripple</t>
  </si>
  <si>
    <t>Ripple Effect</t>
  </si>
  <si>
    <t>涟漪效应</t>
  </si>
  <si>
    <t>在每个空格里填一个数，使得每个区域里包含数字1~N，其中N是这个区域的总格数。同行列中介于两个相同的数字之间的格数（包括空洞）必须大于等于这个数字的值。</t>
  </si>
  <si>
    <t>Nikoli vol. 73</t>
  </si>
  <si>
    <t>japanesesums</t>
  </si>
  <si>
    <t>Japanese Sums</t>
  </si>
  <si>
    <t>日本和</t>
  </si>
  <si>
    <t>在一些空格里填一个属于给出的列表中的数，使得每个数字在每行和每列都最多出现一次。盘面外的数字依次表示此行或此列中每一段有数字的格子之和。问号表示未知的和。</t>
  </si>
  <si>
    <t>Tim Peeters</t>
  </si>
  <si>
    <t>wagiri</t>
  </si>
  <si>
    <t>Wagiri</t>
  </si>
  <si>
    <t>斜线(环和切)</t>
  </si>
  <si>
    <t>在每个格子中画一条对角线。圈中的数字表示从这个圈引出的斜线数量。写有“輪”的格子的对角线必须属于一个环的一部分，标有“切”的格子的对角线不能属于环的一部分。</t>
  </si>
  <si>
    <t>輪切り</t>
  </si>
  <si>
    <t>makaro</t>
  </si>
  <si>
    <t>Makaro</t>
  </si>
  <si>
    <t>极大箭头</t>
  </si>
  <si>
    <t>在每个空格里填一个数，使得每个区域里包含数字1~N，其中N是这个区域的总格数。相邻的格子里不能填相同的数字。黑格里的箭头必须指向所有与此格相邻的数字中唯一最大的一个。</t>
  </si>
  <si>
    <t>Nikoli vol. 143</t>
  </si>
  <si>
    <t>yajirushi</t>
  </si>
  <si>
    <t>Yajirushi</t>
  </si>
  <si>
    <t>在一些空格中放置一个箭头（↑ ↓ ← → 之一）。每个箭头都和另一个箭头配对，它们相互指向，它们之间不能有其他箭头，且不能相邻。所有未放置箭头的空格必须在一对箭头之间。</t>
  </si>
  <si>
    <t>November</t>
  </si>
  <si>
    <t>Nikoli vol. 80</t>
  </si>
  <si>
    <t>cojun</t>
  </si>
  <si>
    <t>Cojun</t>
  </si>
  <si>
    <t>叠叠高</t>
  </si>
  <si>
    <t>在每个空格里填一个数，使得每个区域里包含数字1~N，其中N是这个区域的总格数。相邻的格子里不能填相同的数字。对于任意两个在同区域内纵向相邻的格子，上面的格子里的数字必须比下面的大。</t>
  </si>
  <si>
    <t>降順</t>
  </si>
  <si>
    <t>Nikoli vol. 125</t>
  </si>
  <si>
    <t>tateyoko</t>
  </si>
  <si>
    <t>Tatebo-Yokobo</t>
  </si>
  <si>
    <t>翠竹交错</t>
  </si>
  <si>
    <t>在每个白格中画一条横线“—”或竖线“ | "。相连的线段会组成更长的线段。黑格中的数字表示有多少条线段从此格引出。白格中的数字表示通过此格的线段长度。一条线段至多通过一个白色数字格。</t>
  </si>
  <si>
    <t>縦棒横棒</t>
  </si>
  <si>
    <t>Nikoli vol. 103</t>
  </si>
  <si>
    <t>nanro</t>
  </si>
  <si>
    <t>Nanro</t>
  </si>
  <si>
    <t>物以类聚</t>
  </si>
  <si>
    <t>在一些格子里填入一个数，使得所有填有数的格子连通成一个整体，且没有2×2结构都有数字填入。填入的数表示这一区域内有多少填数的格子。每个区域都至少要填入一个数。不同区域中相邻的格字不能有相同数。</t>
  </si>
  <si>
    <t>COL译自Eric Fox 有小改</t>
  </si>
  <si>
    <t>Nikoli vol. 92</t>
  </si>
  <si>
    <t>arrowflow</t>
  </si>
  <si>
    <t>Arrow Flow</t>
  </si>
  <si>
    <t>箭头流动</t>
  </si>
  <si>
    <t>在每个空格中放置一个箭头（↑ ↓ ← → 之一）。相同的箭头不能相邻。从任意一个带有箭头的格子开始，沿着箭头移动，最终一定可以到达一个线索格。数字表示最终到达这一格的箭头格数目，问号可以表示任意数字。</t>
  </si>
  <si>
    <t>scrabble</t>
  </si>
  <si>
    <t>Scrabble</t>
  </si>
  <si>
    <t>拼词</t>
  </si>
  <si>
    <t>在一些空格内放置一个字符，使得所有有字符的格子连通成一个整体。每个至少两格的横段或纵段的内容（从左到右或从上到下）都在盘面外的单词列表中给出，其中每个单词必须出现恰好一次。有一些字符可能已经放入了盘面。</t>
  </si>
  <si>
    <t>F. Gregory Hartswick</t>
  </si>
  <si>
    <t>kropki-pairs</t>
  </si>
  <si>
    <t>Kropki Pairs</t>
  </si>
  <si>
    <t>黑白点对</t>
  </si>
  <si>
    <t>在每个空格里填一个1~N的数，使得每个数字在每行和每列都恰好出现一次（其中N是每行或每列的格数）。两格之间的白点表示两个数的差（的绝对值）为1，黑点表示两个数（按某个顺序）的比值为1:2。所有可能的黑白点不一定全部给出。</t>
  </si>
  <si>
    <t>见Kropki</t>
  </si>
  <si>
    <t>skyscrapers</t>
  </si>
  <si>
    <t>Skyscrapers</t>
  </si>
  <si>
    <t>摩天楼</t>
  </si>
  <si>
    <t>在一些空格里填一个属于给出的列表中的数，使得每个数字在每行和每列都恰好出现一次。每个数字代表一栋对应高度的摩天楼。盘面外的数字表示从这个方向看去能看到的摩天楼个数，其中较高的摩天楼会遮挡后面较矮的摩天楼。（空格不遮挡视线。）</t>
  </si>
  <si>
    <t>Masanori Natsuhara</t>
  </si>
  <si>
    <t>consecutiveq</t>
  </si>
  <si>
    <t>Consecutive Quads</t>
  </si>
  <si>
    <t>连续四数组</t>
  </si>
  <si>
    <t>在每个空格里填一个1~N的数，使得每个数字在每行和每列都恰好出现一次（其中N是每行或每列的格数）。圆点表示周围四个数中至少有一对连续的数：白点表示恰有一对，而黑点表示至少有两对（不同数对之间可以共用一个数）。所有可能的黑白点不一定全部给出。</t>
  </si>
  <si>
    <t>Ashish Kumar</t>
  </si>
  <si>
    <t>snail</t>
  </si>
  <si>
    <t>Magic Snail</t>
  </si>
  <si>
    <t>蜗牛</t>
  </si>
  <si>
    <t>在一些空格里填一个属于给出的列表（1~N）中的数，使得每个数字在每行和每列都恰好出现一次。从有圆圈的格子开始，沿着螺旋（“蜗牛”）的这一路径，所经过的数字必须按1~N循环：1, 2, ..., N, 1, 2, ...。×表示此格不能填数。</t>
  </si>
  <si>
    <t>COL译自WPCunofficial wiki</t>
  </si>
  <si>
    <t>magic</t>
  </si>
  <si>
    <t>Magic Summer</t>
  </si>
  <si>
    <t>魔夏</t>
  </si>
  <si>
    <t>在一些空格里填一个属于给出的列表中的数码，使得每个数码在每行和每列都恰好出现一次。盘面外的数字表示此行或此列中所有数码组成的数字之和，其中每一段多个连续的有数码的格子从左到右或从上到下形成一个多位数。有一些数码可能已经放入了盘面。有叉标记的格子不能填数。</t>
  </si>
  <si>
    <t>Vladimir Portugalov</t>
  </si>
  <si>
    <t>kropki</t>
  </si>
  <si>
    <t>Kropki</t>
  </si>
  <si>
    <t>黑白点</t>
  </si>
  <si>
    <t>在每个空格里填一个1~N的数，使得每个数字在每行和每列都恰好出现一次（其中N是每行或每列的格数）。两格之间的白点表示两个数的差（的绝对值）为1，黑点表示两个数（按某个顺序）的比值为1:2。所有可能的黑白点都已给出（相邻的数字1和2之间可以用任意一种点标记）。</t>
  </si>
  <si>
    <t>hebi</t>
  </si>
  <si>
    <t>Hebi-Ichigo</t>
  </si>
  <si>
    <t>群蛇乱舞</t>
  </si>
  <si>
    <t>在一些空格里填入一个数，使得每个数字连通组（代表蛇）是一个从1到5按顺序相连的数字序列。不同的蛇不能相邻（但可以对角接触）。提示数字表示在该方向上（直到下一个黑格或盘面边界为止）看到的第一个数字。特别地，0表示该范围内没有数字。在一条蛇的视线内（沿着从2到1的方向，直到黑格或盘面边界为止）不能有其他的蛇。</t>
  </si>
  <si>
    <t>COL译自Eric Fox, 参考绿地杯</t>
  </si>
  <si>
    <t>Nikoli vol. 126</t>
  </si>
  <si>
    <t>ubahn</t>
  </si>
  <si>
    <t>U-Bahn</t>
  </si>
  <si>
    <t>地铁</t>
  </si>
  <si>
    <t>在主盘面内画一些连接相邻格中心的横平竖直的线，使得所有线连通成一个整体。每个格子不能和恰好一个其他格相连（也就是说不能有“死胡同”），但是可以有没有线的格子。盘面外的数字表示此行或此列内有对应连接方式（交叉、丁字、直行、转弯）的格子，不区分具体连接的方向。一些格子里所有的连线已经给出。黑色的格子不能画线。</t>
  </si>
  <si>
    <t>WPC2024IB, 进行了调整</t>
  </si>
  <si>
    <t>Germany Nationals 1995?</t>
  </si>
  <si>
    <t>2005?</t>
  </si>
  <si>
    <t>meadows</t>
  </si>
  <si>
    <t>Meadows</t>
  </si>
  <si>
    <t>裁方块</t>
  </si>
  <si>
    <t>沿虚格线把盘面分成若干正方形区域，使得每个区域恰好包含一个黑圈。</t>
  </si>
  <si>
    <t>fivecells</t>
  </si>
  <si>
    <t>FiveCells</t>
  </si>
  <si>
    <t>五格分区</t>
  </si>
  <si>
    <t>沿虚格线把盘面分成若干个五格骨牌。数字表示此格中是区域边界的边数。</t>
  </si>
  <si>
    <t>Nikoli vol. 133</t>
  </si>
  <si>
    <t>fourcells</t>
  </si>
  <si>
    <t>FourCells</t>
  </si>
  <si>
    <t>四格分区</t>
  </si>
  <si>
    <t>沿虚格线把盘面分成若干个四格骨牌。数字表示此格中是区域边界的边数。</t>
  </si>
  <si>
    <t>Nikoli vol. 132</t>
  </si>
  <si>
    <t>fillomino</t>
  </si>
  <si>
    <t>Fillomino</t>
  </si>
  <si>
    <t>码牌</t>
  </si>
  <si>
    <t>沿虚格线把盘面分成若干个区域，使得任意两个相邻的区域面积都不同。数字表示其所在区域的面积。</t>
  </si>
  <si>
    <t>Nikoli vol. 47</t>
  </si>
  <si>
    <t>pentominous</t>
  </si>
  <si>
    <t>Pentominous</t>
  </si>
  <si>
    <t>五格拼板</t>
  </si>
  <si>
    <t>沿虚格线把盘面分成若干个五格骨牌，使得任意两个相邻的骨牌都不全等。字母表示其所在骨牌的形状。</t>
  </si>
  <si>
    <t>tetrominous</t>
  </si>
  <si>
    <t>Tetrominous</t>
  </si>
  <si>
    <t>四格拼板</t>
  </si>
  <si>
    <t>沿虚格线把盘面分成若干个四格骨牌，使得任意两个相邻的骨牌都不全等。字母表示其所在骨牌的形状。</t>
  </si>
  <si>
    <t>改自Pentominous</t>
  </si>
  <si>
    <t>domino-search</t>
  </si>
  <si>
    <t>Domino Search</t>
  </si>
  <si>
    <t>多米诺搜寻</t>
  </si>
  <si>
    <t>把盘面分成若干个两格区域，使得所有由给出的列表里的数字组成的（无序）数对都在恰好一个区域内同时出现。</t>
  </si>
  <si>
    <t>shikaku</t>
  </si>
  <si>
    <t>Shikaku</t>
  </si>
  <si>
    <t>数方</t>
  </si>
  <si>
    <t>沿虚格线把盘面分成若干长方形区域，使得每个区域恰好包含一个提示格。黑圈里的数字表示其所在长方形的面积。</t>
  </si>
  <si>
    <t>Nikoli vol. 27</t>
  </si>
  <si>
    <t>squarejam</t>
  </si>
  <si>
    <t>Square Jam</t>
  </si>
  <si>
    <t>正方密铺</t>
  </si>
  <si>
    <t>沿虚格线把盘面分成若干个正方形区域。每个顶点不能同时是四个正方形的一角。数字表示其所在的正方形的边长。</t>
  </si>
  <si>
    <t>cbblock</t>
  </si>
  <si>
    <t>Combi Block</t>
  </si>
  <si>
    <t>组合区块</t>
  </si>
  <si>
    <t>沿虚格线把盘面分成若干个区域，使得每个区域恰好包含两个用虚线描边的块。区域不能是长方形。相邻的两个区域不能全等。</t>
  </si>
  <si>
    <t>heteromino</t>
  </si>
  <si>
    <t>Heteromino</t>
  </si>
  <si>
    <t>三格拼版</t>
  </si>
  <si>
    <t>沿虚格线把盘面分成若干个三格骨牌，使得任意两个相邻的骨牌都不平移全等（也就是说，它们要么形状不同，要么朝向不同）。</t>
  </si>
  <si>
    <t>参考五格拼版和puzzlink</t>
  </si>
  <si>
    <t>slashpack</t>
  </si>
  <si>
    <t>Slash Pack</t>
  </si>
  <si>
    <t>斜线分区</t>
  </si>
  <si>
    <t>在一些空格里画一条对角线，把盘面分成若干个区域。每个区域必须包含1~N的数字各一次，其中N是盘面内出现的最大的数字。</t>
  </si>
  <si>
    <t>Yosuke Imai</t>
  </si>
  <si>
    <t>symmarea</t>
  </si>
  <si>
    <t>Symmetry Area</t>
  </si>
  <si>
    <t>对称码牌</t>
  </si>
  <si>
    <t>沿虚格线把盘面分成若干个区域，使得任意两个相邻的区域面积都不同。数字表示其所在区域的面积。所有区域必须满足180°旋转对称。</t>
  </si>
  <si>
    <t>subomino</t>
  </si>
  <si>
    <t>Subomino</t>
  </si>
  <si>
    <t>无包含码牌</t>
  </si>
  <si>
    <t>沿虚格线把盘面分成若干个区域，使得对于任意两个相邻的区域，都不能把其中一个仅通过平移完整放入另一个区域。数字表示其所在区域的面积。</t>
  </si>
  <si>
    <t>wafusuma</t>
  </si>
  <si>
    <t>Wafusuma</t>
  </si>
  <si>
    <t>和障</t>
  </si>
  <si>
    <t>沿虚格线把盘面分成若干个区域，使得任意两个相邻的区域面积都不同。格线上圆圈里的数字必须介于两个不同区域之间，并表示这两个区域的面积之和。</t>
  </si>
  <si>
    <t>kramma</t>
  </si>
  <si>
    <t>KaitoRamma</t>
  </si>
  <si>
    <t>快刀乱麻</t>
  </si>
  <si>
    <t>沿虚格线把盘面分成若干个区域，其中每一条分割线必须完全横平竖直，且两端都在盘面边界上。每个区域至少包含一个圆圈，而且所有同一区域的圆圈必须同色。</t>
  </si>
  <si>
    <t>tentaisho</t>
  </si>
  <si>
    <t>Galaxies</t>
  </si>
  <si>
    <t>星系</t>
  </si>
  <si>
    <t>沿虚格线把盘面分成若干个区域，使得每个区域包含恰好一个圆点。圆点不能在区域边界上。所有区域必须满足180°旋转对称，其中圆点必须在区域的对称中心。</t>
  </si>
  <si>
    <t>Nikoli vol. 96 = 2001</t>
  </si>
  <si>
    <t>sashigane</t>
  </si>
  <si>
    <t>Sashigane</t>
  </si>
  <si>
    <t>曲尺分割</t>
  </si>
  <si>
    <t>沿虚格线把盘面分成若干个宽度为一的L形区域。圆圈必须在所在区域内转弯的位置，而箭头则必须在区域的一端，指向转弯的位置。圆圈里的数字表示其所在区域的面积。</t>
  </si>
  <si>
    <t>指矩</t>
  </si>
  <si>
    <t>araf</t>
  </si>
  <si>
    <t>Araf</t>
  </si>
  <si>
    <t>炼狱</t>
  </si>
  <si>
    <t>沿虚格线把盘面分成若干个区域，使得每个区域恰好包含两个有数字的圆圈。每个区域的面积必须严格介于区域内的两个数字之间（尤其注意面积也不能等于两个数字之一）。</t>
  </si>
  <si>
    <t>Masatoshi Kengo</t>
  </si>
  <si>
    <t>mirrorbk</t>
  </si>
  <si>
    <t>Mirror Block</t>
  </si>
  <si>
    <t>镜像区块</t>
  </si>
  <si>
    <t>沿虚格线把盘面分成若干个区域，使得每个区域至多包含一个数字。数字表示其所在区域的面积。粗线（代表镜子）必须分割两个区域，且这两个区域必须关于镜子呈轴对称。</t>
  </si>
  <si>
    <t>bdblock</t>
  </si>
  <si>
    <t>Border Block</t>
  </si>
  <si>
    <t>边界区块</t>
  </si>
  <si>
    <t>沿虚格线把盘面分成若干个区域，使得每个区域有且仅有一种数字，相同的数字都在同一个区域。黑点表示从这个顶点恰好延伸出三条区域的边界线。所有可能的黑点都已给出。</t>
  </si>
  <si>
    <t>Nikoli vol. 49</t>
  </si>
  <si>
    <t>nikoji</t>
  </si>
  <si>
    <t>NIKOJI</t>
  </si>
  <si>
    <t>异同分割</t>
  </si>
  <si>
    <t>沿虚格线把盘面分成若干个区域，使得每个区域恰好包含一个字母。包含相同字母的区域必须平移全等，包括字母在区域内的相对位置。包含不同字母的区域不能以任何方式全等。</t>
  </si>
  <si>
    <t>Nikoli vol. 99</t>
  </si>
  <si>
    <t>dbchoco</t>
  </si>
  <si>
    <t>Double Choco</t>
  </si>
  <si>
    <t>双巧克力</t>
  </si>
  <si>
    <t>沿虚格线把盘面分成若干个区域，使得每个区域里恰有一组连通的灰格和一组连通的白格，而且两组格子相邻且全等。数字表示其所在区域中一个连通组的面积（也就是区域总面积的一半）。</t>
  </si>
  <si>
    <t>黑巧克力/白巧克力</t>
  </si>
  <si>
    <t>sendai</t>
  </si>
  <si>
    <t>Sendai-Miyagi</t>
  </si>
  <si>
    <t>宫城县仙台市</t>
  </si>
  <si>
    <t>沿虚格线把每个区域（代表县）分成若干个小区域（代表市）。每个市需要与另一个大小方向均相同的市相邻。数字代表所在的县被划分成的市的个数，没有数字的县可以被划分为任意个数的市。</t>
  </si>
  <si>
    <t>仙台宫城</t>
  </si>
  <si>
    <t>lohkous</t>
  </si>
  <si>
    <t>Lohkous</t>
  </si>
  <si>
    <t>长宽度量</t>
  </si>
  <si>
    <t>沿虚格线把盘面分成若干个区域，使得每个区域恰好包含一个有数字的格子。格子内的一个或多个数字表示此区域内每一横段或纵段格子的长度的集合。区域内的这些提示数（包括未知数）不能重复。</t>
  </si>
  <si>
    <t>Arvi Teikari (Hempuli)</t>
  </si>
  <si>
    <t>lapaz</t>
  </si>
  <si>
    <t>La Paz</t>
  </si>
  <si>
    <t>拉巴斯</t>
  </si>
  <si>
    <t>涂黑一些格子，使得涂黑的格子之间不相邻，并将剩下的格子划分成1×2区域。数字格不能涂黑。在横向1×2区域中的数字表示与其同行的涂黑格个数，在竖向1×2区域中的数字表示与其同列的涂黑格个数。</t>
  </si>
  <si>
    <t>shye</t>
  </si>
  <si>
    <t>tatamibari</t>
  </si>
  <si>
    <t>Tatamibari</t>
  </si>
  <si>
    <t>榻榻米</t>
  </si>
  <si>
    <t>沿虚格线把盘面分成若干长方形区域，使得每个区域恰好包含一个符号。每个顶点不能同时是四个长方形的一角。符号表示了其所在的长方形的长宽关系：横线表示宽大于高，竖线表示高大于宽，加号表示两者相等。</t>
  </si>
  <si>
    <t>Nikoli vol. 107</t>
  </si>
  <si>
    <t>narrow</t>
  </si>
  <si>
    <t>Narrowfence</t>
  </si>
  <si>
    <t>沿虚格线把盘面分成若干个非长方形区域，使得每个区域恰好包含一个符号。两个包含相同符号的区域形状必须不同（旋转或翻转后全等的形状视为相同）。不允许存在一个2×2的结构，其四个格子都属于带有相同符号的区域。</t>
  </si>
  <si>
    <t>snakepit</t>
  </si>
  <si>
    <t>Snake Pit</t>
  </si>
  <si>
    <t>蛇窝</t>
  </si>
  <si>
    <t>沿虚格线把盘面分成若干个区域，使得任意两个相邻的区域面积都不同。格内的数字表示其所在区域的面积。所有区域必须都是宽为一且长度至少有两格的蛇形，且不能和自身接触。圆圈表示此格是某条蛇的一端，而灰格表示不是蛇的一端。</t>
  </si>
  <si>
    <t>Carl Worth</t>
  </si>
  <si>
    <t>compass</t>
  </si>
  <si>
    <t>Compass</t>
  </si>
  <si>
    <t>指南针</t>
  </si>
  <si>
    <t>沿虚格线把盘面分成若干个区域，使得每个区域恰好包含一个有叉的格子（代表指南针）。指南针里上/下/左/右侧的数字表示此区域内严格比指南针更加靠上/下/左/右的格子数（无视垂直方向的偏差，比如说“更加靠上”等于“处于更高的一行”）。</t>
  </si>
  <si>
    <t>Silke Berendes</t>
  </si>
  <si>
    <t>aho</t>
  </si>
  <si>
    <t>Aho-ni-Narikire</t>
  </si>
  <si>
    <t>逢三变傻</t>
  </si>
  <si>
    <t>沿虚格线把盘面分成若干区域，使得每个区域恰好包含一个提示格。圆圈里的数字表示其所在区域的面积。如果区域面积是3的倍数，那么该区域必须是L形（一个大长方形从一角去掉长宽都较小的长方形得到的形状）；如果区域面积不是3的倍数，那么该区域必须是长方形。</t>
  </si>
  <si>
    <t>voxas</t>
  </si>
  <si>
    <t>Voxas</t>
  </si>
  <si>
    <t>二三分割</t>
  </si>
  <si>
    <t>沿虚格线把盘面分成若干个长方形区域，使得每个区域的面积是二或三。每个高为一的区域称为横向，每个宽为一的区域称为纵向。给出的边界必须介于两个不同区域之间，而这些边界上圆点的颜色表示了两个区域的面积和朝向关系：白点表示面积和朝向都相同，灰点表示两者中恰有一个相同，而黑点表示两者均不同。</t>
  </si>
  <si>
    <t>Eric Fox自造词，无实意</t>
  </si>
  <si>
    <t>heavydots</t>
  </si>
  <si>
    <t>Heavy Dots</t>
  </si>
  <si>
    <t>重点</t>
  </si>
  <si>
    <t>沿虚格线把盘面分成若干个区域，使得每个区域都不完全包含2×2的结构。每个区域至多只能包含一个数字，表示此区域的面积。黑点表示从这个顶点恰好延伸出三条区域的边界线，而白点表示从这个顶点恰好延伸出四条区域的边界线。所有可能的黑白点不一定全部给出，但是与黑点或白点相邻但没有标记的顶点不能延伸出三条或四条边界线。</t>
  </si>
  <si>
    <t>slither</t>
  </si>
  <si>
    <t>Slitherlink</t>
  </si>
  <si>
    <t>数回</t>
  </si>
  <si>
    <t>回路I</t>
  </si>
  <si>
    <t>连接相邻圆点画一条不和自身交叉的回路。数字表示此格中回路经过的边数。</t>
  </si>
  <si>
    <t xml:space="preserve">Nikoli vol. 26 </t>
  </si>
  <si>
    <t>myopia</t>
  </si>
  <si>
    <t>Myopia</t>
  </si>
  <si>
    <t>近视回路</t>
  </si>
  <si>
    <t>连接相邻圆点画一条不和自身交叉的回路。箭头指向所有横竖方向中离此格最近的回路线段。</t>
  </si>
  <si>
    <t>Jankonyex</t>
  </si>
  <si>
    <t>swslither</t>
  </si>
  <si>
    <t>Sheep Wolf Slitherlink</t>
  </si>
  <si>
    <t>羊圈数回</t>
  </si>
  <si>
    <t>连接相邻圆点画一条不和自身交叉的回路。数字表示此格中回路经过的边数。狼必须在回路外，羊必须在回路内。</t>
  </si>
  <si>
    <t>见Slitherlink</t>
  </si>
  <si>
    <t>Dave Tuller</t>
  </si>
  <si>
    <t>wblink</t>
  </si>
  <si>
    <t>Shirokuro Link</t>
  </si>
  <si>
    <t>黑白配</t>
  </si>
  <si>
    <t>路径I</t>
  </si>
  <si>
    <t>用横平竖直的线段把黑圈和白圈两两连接配对，使得每个圈都恰好属于一对。线段之间不能交叉，包括在端点交叉。</t>
  </si>
  <si>
    <t>Nikoli vol. 45</t>
  </si>
  <si>
    <t>numlin</t>
  </si>
  <si>
    <t>Numberlink</t>
  </si>
  <si>
    <t>数连</t>
  </si>
  <si>
    <t>从每个数字画一条横平竖直的路径，穿过若干个相邻格中心后连到另一个相同的数字。路径不能和自身或互相交叉，包括在端点交叉。</t>
  </si>
  <si>
    <t>但其实很难说</t>
  </si>
  <si>
    <t>midloop</t>
  </si>
  <si>
    <t>Midloop</t>
  </si>
  <si>
    <t>中点回路</t>
  </si>
  <si>
    <t>画一条横平竖直地经过一些格子中心且不和自身交叉的回路。回路必须笔直经过所有黑点，而且每个黑点必须是其所在的直线段的中点。</t>
  </si>
  <si>
    <t>geradeweg</t>
  </si>
  <si>
    <t>Geradeweg</t>
  </si>
  <si>
    <t>直线回路</t>
  </si>
  <si>
    <t>画一条横平竖直地经过一些格子中心且不和自身交叉的回路，并且通过所有带圈的格子。所有和一个圈相交的直线段的长度都必须等于圈里的数字。</t>
  </si>
  <si>
    <t>Robert Vollmert</t>
  </si>
  <si>
    <t>lineofsight</t>
  </si>
  <si>
    <t>Line of Sight</t>
  </si>
  <si>
    <t>视线</t>
  </si>
  <si>
    <t>连接相邻圆点画一条不和自身交叉的回路。数字表示从此格开始这个方向中最近的一条回路线段的长度。作为特例，“0”表示这个方向中没有线段。</t>
  </si>
  <si>
    <t>nanameguri</t>
  </si>
  <si>
    <t>Nanameguri</t>
  </si>
  <si>
    <t>画一条横平竖直地经过一些格子中心且不和自身交叉的回路。回路必须经过每个区域恰好一次。回路必须经过所有包含对角线的格子，但不能穿过对角线。</t>
  </si>
  <si>
    <t>walllogic</t>
  </si>
  <si>
    <t>Four Winds</t>
  </si>
  <si>
    <t>四风</t>
  </si>
  <si>
    <t>从一些数字格的边中点往外画一些横平竖直的箭头。箭头不能经过数字格或者穿出盘面。数字表示从此格延伸出的所有箭头占用的总格数（不包括数字格本身）。</t>
  </si>
  <si>
    <t>hashi</t>
  </si>
  <si>
    <t>Hashi</t>
  </si>
  <si>
    <t>数桥</t>
  </si>
  <si>
    <t>在一些圆圈之间画一条或两条横平竖直的线段（代表桥梁），把所有圆圈连成一个整体。线段之间不能交叉，也不能穿过其他圆圈。圆圈里的数字表示从这个圈连出的线段数。</t>
  </si>
  <si>
    <t>Nikoli vol. 31</t>
  </si>
  <si>
    <t>waterwalk</t>
  </si>
  <si>
    <t>Water Walk</t>
  </si>
  <si>
    <t>水面行者</t>
  </si>
  <si>
    <t>画一条横平竖直地经过一些格子中心的回路，并且经过所有带数字的格子。回路不能连续经过超过两个（表示水）的蓝格。数字表示此格所属于的连续白格构成的回路段经过的格数。</t>
  </si>
  <si>
    <t>Martin Ender (Menderbug)</t>
  </si>
  <si>
    <t>coffeemilk</t>
  </si>
  <si>
    <t>Coffee Milk</t>
  </si>
  <si>
    <t>咖啡牛奶</t>
  </si>
  <si>
    <t>在一些圆圈之间画一条横平竖直的线段。线段之间不能交叉，也不能穿过其他圆圈。黑圈和白圈不能直接连接。每一组连通的圆圈必须恰好包含一个灰圈，以及相同数量的黑圈和白圈。</t>
  </si>
  <si>
    <t>dotchi</t>
  </si>
  <si>
    <t>Dotchi Loop</t>
  </si>
  <si>
    <t>二择回路</t>
  </si>
  <si>
    <t>画一条横平竖直地经过一些格子中心且不和自身交叉的回路。回路必须通过所有带白圈的格子，不通过任何带黑圈的格子。在每个区域内，回路要么在所有白圈格直行，要么在所有白圈格转弯。</t>
  </si>
  <si>
    <t>masyu</t>
  </si>
  <si>
    <t>Masyu</t>
  </si>
  <si>
    <t>珍珠</t>
  </si>
  <si>
    <t>画一条横平竖直地经过一些格子中心且不和自身交叉的回路，并且通过所有带圈的格子。回路必须在黑圈格转弯，且在前后两格均直行。回路必须在白圈格直行，且在前后两格中至少一格转弯。</t>
  </si>
  <si>
    <t>真珠</t>
  </si>
  <si>
    <t>Nikoli vol. 90</t>
  </si>
  <si>
    <t>kaero</t>
  </si>
  <si>
    <t>Kaero</t>
  </si>
  <si>
    <t>归路</t>
  </si>
  <si>
    <t>移动</t>
  </si>
  <si>
    <t>把一些字母沿横平竖直的路径移动，使得在所有移动过后，每个区域有且仅有一种字母，相同的字母都在同一个区域。字母的移动路径不能交叉，包括在端点交叉，也不能经过其他没有移动的字母。</t>
  </si>
  <si>
    <t>改自Bonsan</t>
  </si>
  <si>
    <t>帰ろう</t>
  </si>
  <si>
    <t>castle</t>
  </si>
  <si>
    <t>Castle Wall</t>
  </si>
  <si>
    <t>城堡墙</t>
  </si>
  <si>
    <t>画一条横平竖直地经过一些空格中心且不和自身交叉的回路。黑格或白格内带箭头的数字表示从此格开始按照这个方向的所有直线段的总长度。有这些提示数的黑格必须在回路外，白格必须在回路内。</t>
  </si>
  <si>
    <t>bonsan</t>
  </si>
  <si>
    <t>Bonsan</t>
  </si>
  <si>
    <t>木头人</t>
  </si>
  <si>
    <t>把一些圆圈横向或纵向移动，使得在所有移动过后整个盘面中心对称。圆圈的移动路径不能交叉，包括在端点交叉，也不能经过其他没有移动的圆圈。数字表示此圆圈需要移动的距离（0表示不能移动）。</t>
  </si>
  <si>
    <t>Nikoli vol. 96</t>
  </si>
  <si>
    <t>sato</t>
  </si>
  <si>
    <t>Satogaeri</t>
  </si>
  <si>
    <t>回娘家</t>
  </si>
  <si>
    <t>把一些圆圈横向或纵向移动，使得在所有移动过后，每个区域恰有一个圆圈。圆圈的移动路径不能交叉，包括在端点交叉，也不能经过其他没有移动的圆圈。数字表示此圆圈需要移动的距离（0表示不能移动）。</t>
  </si>
  <si>
    <t>里帰り</t>
  </si>
  <si>
    <t>forestwalk</t>
  </si>
  <si>
    <t>Forest Walk</t>
  </si>
  <si>
    <t>森林行者</t>
  </si>
  <si>
    <t>画一个横平竖直地经过一些格子中心的网络。网络在绿色格子中必须恰好向三个方向有边连出（也就是形成 T 字），在白色格子必须恰好向两个方向有边连出。数字表示此格所属于的连续白格构成的网络段经过的格数。</t>
  </si>
  <si>
    <t>firewalk</t>
  </si>
  <si>
    <t>Fire Walk</t>
  </si>
  <si>
    <t>烈焰行者</t>
  </si>
  <si>
    <t>画一条经过一些格子的回路，并且经过所有带数字的格子。回路经过（表示火焰）的红格时必须转弯。回路可以两次经过同一个红格，前提是此格的中心需要位于回路内。数字表示此格所属于的连续白格构成的回路段经过的格数。</t>
  </si>
  <si>
    <t>disloop</t>
  </si>
  <si>
    <t>Disorderly Loop</t>
  </si>
  <si>
    <t>乱序回路</t>
  </si>
  <si>
    <t>画一条横平竖直地经过一些空格中心且不和自身交叉的回路。提示格中的数字表示从此格箭头指向的相邻格开始，沿箭头方向的下N段回路线段的长度（其中N为提示格中数字的个数）；这些长度与数字一一对应，但顺序不必一致。</t>
  </si>
  <si>
    <t>yosenabe</t>
  </si>
  <si>
    <t>Yosenabe</t>
  </si>
  <si>
    <t>火锅</t>
  </si>
  <si>
    <t>把每个圆圈横向或纵向移动到一个灰色区域，使得每个灰色区域至少包含一个圆圈。圆圈的移动路径不能交叉，包括在端点交叉。圆圈移动时可以跨过其他灰色区域。灰色区域内的数字表示最终移动到此区域的所有圆圈内数字之和。</t>
  </si>
  <si>
    <t>寄せ鍋</t>
  </si>
  <si>
    <t>Nikoli vol. 135</t>
  </si>
  <si>
    <t>rectslider</t>
  </si>
  <si>
    <t>Rectangle Slider</t>
  </si>
  <si>
    <t>长方滑动</t>
  </si>
  <si>
    <t>把一些黑格横向或纵向移动，使得在所有移动过后每一组连通的黑格都是面积至少为二的长方形。黑格的移动路径不能交叉，包括在端点交叉，也不能经过其他没有移动的黑格。数字表示此黑格需要移动的距离（0表示不能移动）。</t>
  </si>
  <si>
    <t>pmemory</t>
  </si>
  <si>
    <t>Persistence of Memory</t>
  </si>
  <si>
    <t>记忆的永恒</t>
  </si>
  <si>
    <t>画一条横平竖直地经过一些格子中心的路径，使得路径经过的所有格子构成一条宽度为一且不和自身接触的蛇。路径的两端用黑色圆圈给出。路径需要经过所有涂灰的区域至少一次。形状、朝向相同的涂灰区域内部的经过方式完全相同。</t>
  </si>
  <si>
    <t>icewalk</t>
  </si>
  <si>
    <t>Ice Walk</t>
  </si>
  <si>
    <t>冰宫行者</t>
  </si>
  <si>
    <t>画一条横平竖直地经过一些格子中心的回路，并且经过所有带数字的格子。回路在白格上不能和自身交叉。回路不能在（表示冰）的蓝格上转弯，但可以在这些格子上和自身交叉。数字表示此格所属于的连续白格构成的回路段经过的格数。</t>
  </si>
  <si>
    <t>orbital</t>
  </si>
  <si>
    <t>Orbital</t>
  </si>
  <si>
    <t>行星轨道</t>
  </si>
  <si>
    <t>画一些横平竖直地经过空格中心的长方形回路。回路之间可以相交，但是不能有边重叠，也不能共用一角。白圈格必须被回路经过，黑圈格不能被回路经过。每个黑圈格恰好位于一个回路的内部，且黑圈中的数字表示那个回路经过的白圈个数。</t>
  </si>
  <si>
    <t>reflect</t>
  </si>
  <si>
    <t>Reflect Link</t>
  </si>
  <si>
    <t>反射回路</t>
  </si>
  <si>
    <t>画一条横平竖直地经过一些格子中心的回路。回路必须在且只能在含有十字的格子里与自身交叉。回路需要经过所有三角形，并在每个三角形处以直角“反射”转弯。数字表示从该三角形出发的两条线段所经过的格子总数（包括三角形所在的格子）。</t>
  </si>
  <si>
    <t>Nikoli vol. 106</t>
  </si>
  <si>
    <t>slalom</t>
  </si>
  <si>
    <t>Slalom</t>
  </si>
  <si>
    <t>巡行通关</t>
  </si>
  <si>
    <t>画一条横平竖直地经过一些白格中心且不和自身交叉的有向回路，其中起点和终点都在圆圈的格子。回路必须直行通过每个用粗虚线标记的“关卡”恰好一次。黑格里带数字的箭头表示回路从圆圈出发后经过其指向的关卡的次序。盘面中的总关卡数在圈内给出。</t>
  </si>
  <si>
    <t>Nikoli vol. 116</t>
  </si>
  <si>
    <t>firefly</t>
  </si>
  <si>
    <t>Firefly/Hotaru Beam</t>
  </si>
  <si>
    <t>萤火虫</t>
  </si>
  <si>
    <t>从每个圆圈（代表萤火虫）沿虚格线画出一条路径，使得所有圆圈通过路径连通成一个整体。每条路径从一个圆圈的黑点开始，在某个圆圈（可以是同一个圆圈）的黑点以外的位置结束。路径不能交叉也不能穿过圆圈。圆圈里的数字表示从它的黑点引出的路径转弯的次数。</t>
  </si>
  <si>
    <t>Nikoli vol. 91</t>
  </si>
  <si>
    <t>dotchi2</t>
  </si>
  <si>
    <t>Dotchi Dotchi Loop</t>
  </si>
  <si>
    <t>画一条横平竖直地经过一些格子中心且不和自身交叉的回路。在每个区域内，回路要么通过所有带白圈的格子，不通过任何带黑圈的格子，要么通过所有带黑圈的格子，不通过任何带白圈的格子。每个区域都至少有一个圆圈被回路经过。回路必须在黑圈格转弯，在白圈格直行。</t>
  </si>
  <si>
    <t>kouchoku</t>
  </si>
  <si>
    <t>Kouchoku</t>
  </si>
  <si>
    <t>交直</t>
  </si>
  <si>
    <t>经过盘面内所有节点画一条回路。回路中的线段必须直线连接两个节点（不一定横平竖直），两条线段仅在互相垂直时才允许互相交叉。含有相同字母的节点必须被连续经过，而含有不同字母的节点之间不能直接相连。回路在切换字母前必须经过至少一个不带字母的黑色节点。</t>
  </si>
  <si>
    <t>balance</t>
  </si>
  <si>
    <t>Balance Loop</t>
  </si>
  <si>
    <t>平衡回路</t>
  </si>
  <si>
    <t>画一条横平竖直地经过一些格子中心且不和自身交叉的回路，并且通过所有带圈的格子。圈的颜色表示从此格延伸出的两条线段的长度关系（把圈的中心视为两条线段的端点之一）：白圈表示两条线段长度相同，黑圈表示两条线段长度不同。圆圈里的数字表示这两条线段的长度之和。</t>
  </si>
  <si>
    <t>crossstitch</t>
  </si>
  <si>
    <t>Crossstitch</t>
  </si>
  <si>
    <t>十字绣</t>
  </si>
  <si>
    <t>在一些空格里画对角线，使其形成两条不和自身交叉的回路（盘面的两种顶点各一条回路）。两个回路之间可以交叉，但出现交叉的单元格不能横竖相邻。圈内数字表示此格的四个角中被回路经过的个数。带箭头的数字表示在该方向上（直到下一个黑格或盘面边界为止）出现交叉的单元格数。</t>
  </si>
  <si>
    <t>bhaibahan</t>
  </si>
  <si>
    <t>Bhai Bahan</t>
  </si>
  <si>
    <t>同胞回路</t>
  </si>
  <si>
    <t>画一条横平竖直地经过一些空格中心且不和自身交叉的回路。回路经过所有圆圈。如果两个圆圈格横竖相邻，则回路在其中一格直行，在另一格拐弯。如果回路在圆圈格直行，则圈内数字表示沿回路连续出现该数量的直行格。如果在圆圈格拐弯，则圈内数字表示沿回路连续出现该数量的拐弯格。</t>
  </si>
  <si>
    <t>November + Li2CO3</t>
  </si>
  <si>
    <t>moonsun</t>
  </si>
  <si>
    <t>Moon or Sun</t>
  </si>
  <si>
    <t>日月交替</t>
  </si>
  <si>
    <t>画一条横平竖直地经过一些格子中心且不和自身交叉的回路。回路必须恰好经过每个区域一次，且在每个区域内至少经过一个符号。在每个区域内，回路必须要么经过所有太阳符号且不经过任何月亮符号，要么经过所有月亮符号且不经过任何太阳符号，且必须在连续经过的区域之间在两者之间切换。</t>
  </si>
  <si>
    <t>Nikoli vol. 154</t>
  </si>
  <si>
    <t>icebarn</t>
  </si>
  <si>
    <t>Icebarn</t>
  </si>
  <si>
    <t>冰宫游弋</t>
  </si>
  <si>
    <t>画一条横平竖直地经过一些格子中心的路径，从盘面边界上指向内部的箭头开始，到边界上指向外部的箭头结束。路径必须按照给出的方向穿过所有箭头。路径在白格上不能和自身交叉。路径不能在（表示冰）的蓝格上转弯，但可以在这些格子上和自身交叉。每一组（粗线标注）的蓝色区域必须至少一次。</t>
  </si>
  <si>
    <t>Nikoli vol. 108</t>
  </si>
  <si>
    <t>tapaloop</t>
  </si>
  <si>
    <t>Tapa-like Loop</t>
  </si>
  <si>
    <t>土派回路</t>
  </si>
  <si>
    <t>画一条横平竖直地经过一些空格中心且不和自身交叉的回路。格内一个或多个数字表示回路每次经过与此格接触的（至多）八格形成的区域时连续经过的格数，但不限定顺序。作为特例，一个单独的“0”表示回路不经过任何与此格接触的格子，而一个单独的问号（格内没有其他问号或数字）也可以代表“0”。</t>
  </si>
  <si>
    <t>见Tapa</t>
  </si>
  <si>
    <t>Takeya Saikachi</t>
  </si>
  <si>
    <t>angleloop</t>
  </si>
  <si>
    <t>Angle Loop</t>
  </si>
  <si>
    <t>角度回路</t>
  </si>
  <si>
    <t>经过盘面内所有有符号的顶点画一条不和自身交叉的回路。回路可以有非横平竖直的线段，但是必须恰好在有符号的顶点上转弯（并在别的地方直行）。符号的形状表示了转弯前后两条线段之间的夹角：黑色三角形表示锐角（小于90°），灰色方形表示直角（等于90°），白色五边形表示钝角（大于90°）。</t>
  </si>
  <si>
    <t>nagare</t>
  </si>
  <si>
    <t>Nagereru-Loop</t>
  </si>
  <si>
    <t>吹风机回路</t>
  </si>
  <si>
    <t>画一条横平竖直地经过一些白格中心且不和自身交叉的有向回路。回路不能经过黑格。回路必须按箭头方向穿过所有带黑色箭头的白格，不能在格内转弯。带白色箭头的黑格代表风扇，会沿箭头方向吹风直到下一个黑格为止。在这些受风影响的白格中，回路不得逆风前进，并且一旦进入受风影响的格子，必须立即按照风向转向，前进至少一格。</t>
  </si>
  <si>
    <t>Nikoli vol. 147</t>
  </si>
  <si>
    <t>herugolf</t>
  </si>
  <si>
    <t>Herugolf</t>
  </si>
  <si>
    <t>高尔夫</t>
  </si>
  <si>
    <t>把每个圆圈通过一系列（至少一次）横向或纵向移动至一个H格。每个H格必须恰好和一个圆圈相连。每个圆圈第一次移动的长度必须等于圆圈里的数字，而之后的每一次移动长度必须比前一次短一格（所以总移动次数不能超过圆圈里的数字）。每一次移动的终点不能在蓝格内（表示水坑），但移动期间可以穿过蓝格。连续两次移动之间的方向可以改变也可以不改变，但不能完全相反（也就是说不能“掉头”）。圆圈的移动路径不能交叉，包括在端点交叉。</t>
  </si>
  <si>
    <t>simpleloop</t>
  </si>
  <si>
    <t>Simple Loop</t>
  </si>
  <si>
    <t>简单回路</t>
  </si>
  <si>
    <t>回路II</t>
  </si>
  <si>
    <t>画一条横平竖直地经过所有空格中心且不和自身交叉的回路。</t>
  </si>
  <si>
    <t>doubleback</t>
  </si>
  <si>
    <t>Double Back</t>
  </si>
  <si>
    <t>二次返回</t>
  </si>
  <si>
    <t>画一条横平竖直地经过所有格子中心且不和自身交叉的回路。回路必须经过每个区域恰好两次。</t>
  </si>
  <si>
    <t>detour</t>
  </si>
  <si>
    <t>Detour</t>
  </si>
  <si>
    <t>绕道</t>
  </si>
  <si>
    <t>画一条横平竖直地经过所有格子中心且不和自身交叉的回路。数字表示回路在此区域内转弯的次数。</t>
  </si>
  <si>
    <t>alternate</t>
  </si>
  <si>
    <t>Alternate Loop</t>
  </si>
  <si>
    <t>交替回路</t>
  </si>
  <si>
    <t>画一条横平竖直地经过所有格子中心且不和自身交叉的回路。回路连续经过的任意两个圆圈颜色不能相同。</t>
  </si>
  <si>
    <t>haisu</t>
  </si>
  <si>
    <t>Haisu</t>
  </si>
  <si>
    <t>入数</t>
  </si>
  <si>
    <t>路径II</t>
  </si>
  <si>
    <t>从S到G画一条经过所有格子中心的路径。格子内的数N表示此格在第N次经过格子所属的区域时被经过。</t>
  </si>
  <si>
    <t>William Hu</t>
  </si>
  <si>
    <t>rassi</t>
  </si>
  <si>
    <t>Rassi Silai</t>
  </si>
  <si>
    <t>绳索缝纫</t>
  </si>
  <si>
    <t>在每个区域内画一条经过该区域所有格子的路径。位于路径端点的格子不能互相接触（对角接触也不行）。</t>
  </si>
  <si>
    <t>ringring</t>
  </si>
  <si>
    <t>Ring-ring</t>
  </si>
  <si>
    <t>环环相扣</t>
  </si>
  <si>
    <t>用横平竖直地经过空格中心的长方形回路覆盖每个空格。回路之间可以相交，但是不能有边重叠，也不能共用一角。</t>
  </si>
  <si>
    <t>yajilin-regions</t>
  </si>
  <si>
    <t>Regional Yajilin</t>
  </si>
  <si>
    <t>仙人指区</t>
  </si>
  <si>
    <t>画一条横平竖直地经过一些空格中心且不和自身交叉的回路，并把未经过的空格涂黑。涂黑的格子不能相邻。数字表示此区域内的黑格数。</t>
  </si>
  <si>
    <t>见Yajilin</t>
  </si>
  <si>
    <t>WPCwiki (puzzlink)</t>
  </si>
  <si>
    <t>koburin</t>
  </si>
  <si>
    <t>Koburin</t>
  </si>
  <si>
    <t>仙人指邻</t>
  </si>
  <si>
    <t>画一条横平竖直地经过一些空格中心且不和自身交叉的回路，并把未经过的空格涂黑。涂黑的格子不能相邻。数字表示和此格相邻的黑格数。</t>
  </si>
  <si>
    <t>pipelink</t>
  </si>
  <si>
    <t>Pipelink</t>
  </si>
  <si>
    <t>管道回路</t>
  </si>
  <si>
    <t>画一条横平竖直地经过所有格子中心的回路。回路中的两条线段可以十字交叉，但不能在交叉处转弯。格子中的线索表示此格如何被回路经过。</t>
  </si>
  <si>
    <t>maxi</t>
  </si>
  <si>
    <t>Maxi Loop</t>
  </si>
  <si>
    <t>极大回路</t>
  </si>
  <si>
    <t>画一条横平竖直地经过所有格子中心且不和自身交叉的回路。数字表示回路单次经过此区域中经过格数最多的一段的格数。这个最大值必须在某次经过时达到。</t>
  </si>
  <si>
    <t>yajilin</t>
  </si>
  <si>
    <t>Yajilin</t>
  </si>
  <si>
    <t>仙人指路</t>
  </si>
  <si>
    <t>画一条横平竖直地经过一些空格中心且不和自身交叉的回路，并把未经过的空格涂黑。涂黑的格子不能相邻。带箭头的数字表示从此格开始在这个方向中的黑格数。</t>
  </si>
  <si>
    <t>Nikoli vol. 86</t>
  </si>
  <si>
    <t>nuriloop</t>
  </si>
  <si>
    <t>Nurikabe Loop</t>
  </si>
  <si>
    <t>数墙回路</t>
  </si>
  <si>
    <t>画一条横平竖直地经过一些空格中心且不和自身交叉的回路。每一组连通的未被回路经过的格必须恰好包含一个数字。数字表示其所在的未被回路经过的连通组格数。</t>
  </si>
  <si>
    <t>Nikoli vol. 62</t>
  </si>
  <si>
    <t>trainstations</t>
  </si>
  <si>
    <t>Train Stations/Railroad</t>
  </si>
  <si>
    <t>铁轨</t>
  </si>
  <si>
    <t>画一条横平竖直地经过所有格子中心的回路。回路必须在且只能在含有十字的格子里与自身交叉。回路必须从1出发，按顺序经过所有数字格，且数字格处不允许拐弯。</t>
  </si>
  <si>
    <t>Craig Kasper</t>
  </si>
  <si>
    <t>hidato</t>
  </si>
  <si>
    <t>Hidato</t>
  </si>
  <si>
    <t>一笔画</t>
  </si>
  <si>
    <t>在每个空格里填数，使得1~N的每个数分别在盘面里出现恰好一次，其中N是盘面的总格数。每一对连续的数字必须在接触的格子里。有一些数字可能已经放入了盘面。</t>
  </si>
  <si>
    <t>Steve Wilson?</t>
  </si>
  <si>
    <t>1981?</t>
  </si>
  <si>
    <t>barns</t>
  </si>
  <si>
    <t>Barns</t>
  </si>
  <si>
    <t>冰宫回路</t>
  </si>
  <si>
    <t>画一条横平竖直地经过所有格子中心的回路。回路不能穿过任何粗格线。回路在白格上不能和自身交叉。回路不能在（表示冰）的蓝格上转弯，但可以在这些格子上和自身交叉。</t>
  </si>
  <si>
    <t>见Icebarn</t>
  </si>
  <si>
    <t>Nikoli vol. 114</t>
  </si>
  <si>
    <t>vertigo</t>
  </si>
  <si>
    <t>Vertigo</t>
  </si>
  <si>
    <t>晕头转向</t>
  </si>
  <si>
    <t>画一条横平竖直地经过所有格子中心的回路。回路可以在任何格内与自身交叉。在按照一个方向走遍整个回路时，所有转弯的方向必须相同（全部都是左转或者全部都是右转）。</t>
  </si>
  <si>
    <t>nothing</t>
  </si>
  <si>
    <t>All or Nothing</t>
  </si>
  <si>
    <t>满或空</t>
  </si>
  <si>
    <t>画一条横平竖直地经过一些格子中心且不和自身交叉的回路。回路必须经过每个区域至多一次，且如果经过一个区域就必须经过其所有的格子。任意两个没有经过的区域不能相邻。</t>
  </si>
  <si>
    <t>mukkonn</t>
  </si>
  <si>
    <t>Mukkonn Enn</t>
  </si>
  <si>
    <t>四向回路</t>
  </si>
  <si>
    <t>画一条横平竖直地经过所有格子中心的回路。当回路从带数字的三角形离开一个单元格时，它必须沿直线前进该数字所指示的单元格数，然后转弯。未被回路经过的数字没有意义。</t>
  </si>
  <si>
    <t>WPC Team</t>
  </si>
  <si>
    <t>doubleornothing</t>
  </si>
  <si>
    <t>Double or Nothing</t>
  </si>
  <si>
    <t>双或无</t>
  </si>
  <si>
    <t>画两条横平竖直地经过一些格子中心且分别不和自身交叉的回路。每个空格必须恰有一条回路经过。每个有加号的格子要么两条回路都经过（且在那里交叉），要么两条回路都不经过。</t>
  </si>
  <si>
    <t>country</t>
  </si>
  <si>
    <t>Country Road</t>
  </si>
  <si>
    <t>周游列国</t>
  </si>
  <si>
    <t>画一条横平竖直地经过一些格子中心且不和自身交叉的回路。回路必须恰好经过每个区域一次。任意两个隔着区域边界相邻的格子不能都未被回路经过。数字表示此区域内回路经过的格数。</t>
  </si>
  <si>
    <t>Nikoli vol. 65</t>
  </si>
  <si>
    <t>railpool</t>
  </si>
  <si>
    <t>Rail Pool</t>
  </si>
  <si>
    <t>轨道库</t>
  </si>
  <si>
    <t>画一条横平竖直地经过所有格子中心且不和自身交叉的回路。格子中的一个或多个数字表示所有全部或部分在此区域内的直线段长度的集合。区域内的这些提示数（包括未知数）不能重复。</t>
  </si>
  <si>
    <t>字面义, 兼来自Liar Loop的逆序</t>
  </si>
  <si>
    <t>nagenawa</t>
  </si>
  <si>
    <t>Nagenawa</t>
  </si>
  <si>
    <t>套索</t>
  </si>
  <si>
    <t>画若干条横平竖直地经过格子中心的回路，使得每条回路都是一个长方形。不同回路之间可以交叉，但不能以其他方式重叠，包括在回路一角交叉。数字表示区域内至少被一个回路经过的格数。</t>
  </si>
  <si>
    <t>投げ縄</t>
  </si>
  <si>
    <t>keywest</t>
  </si>
  <si>
    <t>Key West</t>
  </si>
  <si>
    <t>群岛之桥</t>
  </si>
  <si>
    <t>在每个圆圈内填入一个0~4之间的数字，并在一些横竖相邻的圆圈之间画线，把所有圈内数字大于0的圆圈连成一个整体。圆圈里的数字表示从这个圈连出的线段数。横竖相邻的圆圈里不能填相同的数字。</t>
  </si>
  <si>
    <t>mintonette</t>
  </si>
  <si>
    <t>Mintonette</t>
  </si>
  <si>
    <t>排球/数弯</t>
  </si>
  <si>
    <t>用横平竖直地经过格子中心的路径把圆圈两两连接配对，使得每个圈都恰好属于一对。路径不能和自身或互相交叉，包括在端点交叉。每个格子必须恰好有一条路径经过。圆圈里的数字表示其路径转弯的次数。</t>
  </si>
  <si>
    <t>kurarin</t>
  </si>
  <si>
    <t>Kurarin</t>
  </si>
  <si>
    <t>黑暗回路</t>
  </si>
  <si>
    <t>在盘面内涂黑一些格子，使得留白的格子形成一条横平竖直不交叉的回路。盘面内的点提示了其所接触的（至多）四格中涂黑格和留白格哪种更多：白色表示留白格更多，黑色表示涂黑格更多，灰色表示涂黑格和留白格一样多。</t>
  </si>
  <si>
    <t>curvedata</t>
  </si>
  <si>
    <t>Curve Data</t>
  </si>
  <si>
    <t>曲线数据</t>
  </si>
  <si>
    <t>画一些横平竖直地经过格子中心的线段组成一些图形，使得每个连通图形恰好经过一个提示，并且每个格子都被某个图形经过。提示表示该图形的形状（不允许旋转或翻转），线段长度可以自由延长或缩短（线段长度至少为1）。</t>
  </si>
  <si>
    <t>Tatsuya Yamamoto</t>
  </si>
  <si>
    <t>icelom</t>
  </si>
  <si>
    <t>Icelom</t>
  </si>
  <si>
    <t>冰宫巡游</t>
  </si>
  <si>
    <t>画一条横平竖直地经过所有白色格子中心的路径，从"IN"开始，到"OUT"结束。路径需要按顺序经过所有标有数的格子。路径在白色格子上不能和自身交叉。路径不能在蓝色格子（表示冰）上转弯，但可以在这些格子上和自身交叉。</t>
  </si>
  <si>
    <t>改自Icebarn</t>
  </si>
  <si>
    <t>anglers</t>
  </si>
  <si>
    <t>Anglers</t>
  </si>
  <si>
    <t>渔夫</t>
  </si>
  <si>
    <t>从每个数字画一条横平竖直的路径，穿过若干个相邻格中心后连到一条鱼。每条鱼必须恰好和一个数字相连。路径不能和自身或互相交叉，包括在端点交叉。每个格子必须恰好有一条路径经过。数字表示其路径的长度（等于路径使用的总格数，包括最终的鱼格）。</t>
  </si>
  <si>
    <t>Lázló Mérö</t>
  </si>
  <si>
    <t>日期</t>
  </si>
  <si>
    <t>链接</t>
  </si>
  <si>
    <t>作者</t>
  </si>
  <si>
    <t>时间1</t>
  </si>
  <si>
    <t>时间2</t>
  </si>
  <si>
    <t>文案</t>
  </si>
  <si>
    <t>五</t>
  </si>
  <si>
    <t>xoned72</t>
  </si>
  <si>
    <t>1:15</t>
  </si>
  <si>
    <t>2:30</t>
  </si>
  <si>
    <t>#每日谜题 (11.28)
今天是周五，每日谜题是一道【分区】题目——
Heteromino（三格拼版）：沿虚格线把盘面分成若干个三格骨牌，使得任意两个相邻的骨牌都不平移全等（也就是说，它们要么形状不同，要么朝向不同）。
题目链接：（本题作者xoned72）
https://pzplus.tck.mn/p?heteromino/8/8/j77777e7g7e7a7e7a7a7d7l
在1:15内完成可以获得一束烟花🎉
在2:30内完成可以获得一朵玫瑰🌹
只要完成了就可以给自己一个赞！👍
今天是每日谜题复活以来的的第100期！</t>
  </si>
  <si>
    <t>四</t>
  </si>
  <si>
    <t>udoP_</t>
  </si>
  <si>
    <t>2:15</t>
  </si>
  <si>
    <t>4:30</t>
  </si>
  <si>
    <t>#每日谜题 (11.27)
今天是周四，每日谜题是一道【填写】题目——
Toichika（山盟海誓）：在每个区域中放置一个箭头（↑ ↓ ← → 之一）。每个箭头都和另一个箭头配对，它们相互指向，它们之间不能有其他箭头。配对箭头所属的区域不能有公共边界。
题目链接：（本题作者udoP_）
https://pzplus.tck.mn/p?toichika/6/6/aljii4v7k47vz9
在2:15内完成可以获得一束烟花🎉
在4:30内完成可以获得一朵玫瑰🌹
只要完成了就可以给自己一个赞！👍</t>
  </si>
  <si>
    <t>三</t>
  </si>
  <si>
    <t>涂黑III/放置</t>
  </si>
  <si>
    <t>djmathman</t>
  </si>
  <si>
    <t>3:30</t>
  </si>
  <si>
    <t>7:00</t>
  </si>
  <si>
    <t>#每日谜题 (11.26)
今天是周三，每日谜题是一道【涂黑III】题目——
Martini（马提尼）：在每个区域内涂黑至多一组连通的格子，使得不同区域内涂黑的连通组不相邻。所有涂黑格必须对角连通成一个整体。有黑圈的格子必须涂黑，有白圈的格子必须留白。白圈里的数字表示其所在的留白的连通组中的白圈个数，包括自身（这个连通组可能横跨多个区域）。  
题目链接：（本题作者djmathman）
https://pzplus.tck.mn/p?martini/10/10/47774uftc6nuf4sss4fs6e09n6c6cti0ec7u3h0i0g0i2j.i3l0m.i0v.i.m0l.i2j0i0g0i.h3
在3:30内完成可以获得一束烟花🎉
在7:00内完成可以获得一朵玫瑰🌹
只要完成了就可以给自己一个赞！👍
词源：Cocktail Lamp 的派生, 黑圈形似橄榄</t>
  </si>
  <si>
    <t>二</t>
  </si>
  <si>
    <t>墨矾</t>
  </si>
  <si>
    <t>1:30</t>
  </si>
  <si>
    <t>3:00</t>
  </si>
  <si>
    <t>#每日谜题 (11.25)
今天是周二，每日谜题是一道【涂黑II】题目——
Box/Kakurasu（方阵和）：涂黑一些空格，使得盘面外的数字等于此行或此列中涂黑格所在列号或行号（盘面外圆圈内的数字）的和。
题目链接：（本题作者墨矾）
https://pzplus.tck.mn/p?box/6/6/7a5f7dbj7d98
在1:30内完成可以获得一束烟花🎉
在3:00内完成可以获得一朵玫瑰🌹
只要完成了就可以给自己一个赞！👍</t>
  </si>
  <si>
    <t>一</t>
  </si>
  <si>
    <t>Matej Uher from 22nd 24HPC</t>
  </si>
  <si>
    <t>6:00</t>
  </si>
  <si>
    <t>#每日谜题 (11.24)
今天是周一，每日谜题是一道【涂黑I】题目——
Cave（山洞）：涂黑一些格子，使得所有涂黑的格子都能沿涂黑格横竖连通到盘面边界，且留白的格子连通成一个整体。数字必须在留白格里，并表示此格横竖能够直接连接到且不被涂黑格阻挡的留白格个数，包括此格本身。
题目链接：（本题作者Matej Uher from 22nd 24HPC）
https://pzplus.tck.mn/p?cave/9/9/g2g2h3p32g2i3l6i3o5i6l5i4g45p5h4g4g
在3:00内完成可以获得一束烟花🎉
在6:00内完成可以获得一朵玫瑰🌹
只要完成了就可以给自己一个赞！👍</t>
  </si>
  <si>
    <t>日</t>
  </si>
  <si>
    <t>#每日谜题 (11.23)
今天是周日，每日谜题是一道【回路II】题目——
Kurarin（比例回路）：在盘面内涂黑一些格子，使得留白的格子形成一条横平竖直不交叉的回路。盘面内的点提示了周围两格或者四格中涂黑格和留白格哪种更多：白色表示留白格更多，黑色表示涂黑格更多，灰色表示涂黑格和留白格一样多。
题目链接：（本题作者dodomos）
https://pzprxs.vercel.app/p?kurarin/10/10/pcg2g8ch8g1o1h8g8j1n1icg8h1q2h4k22l8g22h8k22lcg2q3i8g4h3n3k8g8g3o3h8h482h4p
在3:00内完成可以获得一束烟花🎉
在6:00内完成可以获得一朵玫瑰🌹
只要完成了就可以给自己一个赞！👍
提示：pzprxs的访问可能需要科学上网。</t>
  </si>
  <si>
    <t>六</t>
  </si>
  <si>
    <t>niwabee10</t>
  </si>
  <si>
    <t>#每日谜题 (11.22)
今天是周六，每日谜题是一道【回路I】题目——
Nagereru-Loop（吹风机回路）：画一条横平竖直地经过一些白格中心且不和自身交叉的有向回路。回路不能经过黑格。回路必须按箭头方向穿过所有带黑色箭头的白格，不能在格内转弯。带白色箭头的黑格代表风扇，会沿箭头方向吹风直到下一个黑格为止。在这些受风影响的白格中，回路不得逆风前进，并且一旦进入受风影响的格子，必须立即按照风向转向，前进至少一格。
题目链接：（本题作者niwabee10）
https://pzplus.tck.mn/p?nagare/10/10/d9a4d9d5a7b4a9g5e7e2a5c76c5g6e5g8d6a5d8d3a8d
在3:00内完成可以获得一束烟花🎉
在6:00内完成可以获得一朵玫瑰🌹
只要完成了就可以给自己一个赞！👍</t>
  </si>
  <si>
    <t>#每日谜题 (11.21)
今天是周五，每日谜题是一道【分区】题目——
KaitoRamma（快刀乱麻）：沿虚格线把盘面分成若干个区域，其中每一条分割线必须完全横平竖直，且两端都在盘面边界上。每个区域至少包含一个圆圈，而且所有同一区域的圆圈必须同色。
题目链接：（本题作者Andrey Bogdanov）
https://pzplus.tck.mn/p?kramma/c/7/7/b026c6aib232il10i
在1:15内完成可以获得一束烟花🎉
在2:30内完成可以获得一朵玫瑰🌹
只要完成了就可以给自己一个赞！👍</t>
  </si>
  <si>
    <t>パリパリバー教団</t>
  </si>
  <si>
    <t>1:00</t>
  </si>
  <si>
    <t>2:00</t>
  </si>
  <si>
    <t>#每日谜题 (11.20)
今天是周四，每日谜题是一道【填写】题目——
Goishi（捡棋子）：从1开始在每颗棋子上标数，代表捡走棋子的顺序。连续两个被捡走的棋子必须同行或同列，且中间不能有未捡的棋子。捡棋子的过程中不允许180°掉头。
题目链接：（本题作者パリパリバー教団）
https://pzplus.tck.mn/p?goishi/9/9/vvnf5cnbtrnqvrvvg
在1:00内完成可以获得一束烟花🎉
在2:00内完成可以获得一朵玫瑰🌹
只要完成了就可以给自己一个赞！👍</t>
  </si>
  <si>
    <t>nisimuku_sen</t>
  </si>
  <si>
    <t>4:00</t>
  </si>
  <si>
    <t>#每日谜题 (11.19)
今天是周三，每日谜题是一道【涂黑III】题目——
Cocktail Lamp（鸡尾酒灯）：在每个区域内涂黑至多一组连通的格子，使得不同区域内涂黑的连通组不相邻。数字表示区域内涂黑格的个数。所有涂黑格必须对角连通成一个整体。不能有全部涂黑的2×2结构。
题目链接：（本题作者nisimuku_sen）
https://pzplus.tck.mn/p?cocktail/10/10/gi94a8khp3i70e0s1oc0vu00vu00ue00uf0044444044234444
在2:00内完成可以获得一束烟花🎉
在4:00内完成可以获得一朵玫瑰🌹
只要完成了就可以给自己一个赞！👍</t>
  </si>
  <si>
    <t>RS_Puzzling</t>
  </si>
  <si>
    <t>#每日谜题 (11.18)
今天是周二，每日谜题是一道【涂黑II】题目——
Look-Air（观云）：涂黑一些格子，使得每一组涂黑的连通组都是正方形。在每行和每列内，任意两个仅由（至少一个）留白格分隔的涂黑格不能在两个全等的正方形里（也就是说任意两个全等的正方形都不能在对方的“视线”内）。数字表示此格以及与其相邻的（至多）四格中涂黑格的个数。
题目链接：（本题作者RS_Puzzling）
https://pzplus.tck.mn/p?lookair/10/10/1d3x1g4m0a1b1e3c1h2m2h2
在3:30内完成可以获得一束烟花🎉
在7:00内完成可以获得一朵玫瑰🌹
只要完成了就可以给自己一个赞！👍</t>
  </si>
  <si>
    <t>TealsPuzzles</t>
  </si>
  <si>
    <t>#每日谜题 (11.17)
今天是周一，每日谜题是一道【涂黑I】题目——
Guide Arrow（指引箭头）：涂黑一些格子，使得涂黑的格子之间不相邻，且留白的格子连通成一个整体。留白格不能形成回路（包括2×2结构）。箭头表示从这一格出发，在不经过涂黑格也不倒退的情况下，能够走到星星的路径的唯一方向。
题目链接：（本题作者TealsPuzzles）
https://pzplus.tck.mn/p?guidearrow/8/8/11pepcpehcpdm
在2:00内完成可以获得一束烟花🎉
在4:00内完成可以获得一朵玫瑰🌹
只要完成了就可以给自己一个赞！👍</t>
  </si>
  <si>
    <t>うまや天国</t>
  </si>
  <si>
    <t>5:00</t>
  </si>
  <si>
    <t>#每日谜题 (11.16)
今天是周日，每日谜题是一道【回路II】题目——
All or Nothing（满或空）：画一条横平竖直地经过一些格子中心且不和自身交叉的回路。回路必须经过每个区域至多一次，且如果经过一个区域就必须经过其所有的格子。任意两个没有经过的区域不能相邻。 
题目链接：（本题作者うまや天国）
https://pzplus.tck.mn/p?nothing/10/10/k8iud3nti5uabn7fisn2f2kvdvaasa8v3q8q
在2:30内完成可以获得一束烟花🎉
在5:00内完成可以获得一朵玫瑰🌹
只要完成了就可以给自己一个赞！👍</t>
  </si>
  <si>
    <t>x0_000</t>
  </si>
  <si>
    <t>#每日谜题 (11.15)
今天是周六，每日谜题是一道【回路I】题目——
Reflect Link（反射回路）：画一条横平竖直地经过一些格子中心的回路。回路必须在且仅在含有十字的格子里与自身交叉。回路需要经过所有三角形，并在每个三角形处以直角“反射”转弯。数字代表从该三角形出发的两条线段所经过的格子总数（包括三角形所在的格子）。
题目链接：（本题作者x0_000）
https://pzplus.tck.mn/p?reflect/10/10/d37h34b520c24i40f26j3915j5f27i35c535b5h23d
在1:00内完成可以获得一束烟花🎉
在2:00内完成可以获得一朵玫瑰🌹
只要完成了就可以给自己一个赞！👍</t>
  </si>
  <si>
    <t>#每日谜题 (11.14)
今天是周五，每日谜题是一道【分区】题目——
Combi Block：沿虚格线把盘面分成若干个区域，使得每个区域恰好包含两个用虚线描边的块。区域不能是长方形。相邻的两个区域不能全等。
题目链接：（本题作者djmathman）
https://pzplus.tck.mn/p?cbblock/12/12/l7in9bq0v2nlfdl7ajt1m0u0rkbu7v09k7q0ts801rvg6vgv0fe6u
在3:00内完成可以获得一束烟花🎉
在6:00内完成可以获得一朵玫瑰🌹
只要完成了就可以给自己一个赞！👍</t>
  </si>
  <si>
    <t>初月葉桜</t>
  </si>
  <si>
    <t>9:00</t>
  </si>
  <si>
    <t>#每日谜题 (11.13)
今天是周四，每日谜题是一道【填写】题目——
Nanro（物以类聚）：在一些格子里填入一个数，使得所有填有数的格子连通成一个整体，且没有2×2结构都有数字填入。填入的数表示这一区域内有多少填数的格子。每个区域都至少要填入一个数。不同区域中相邻的格字不能有相同数。
题目链接：（本题作者初月葉桜）
https://pzplus.tck.mn/p?nanro/10/10/idcqqhlfaultbq7leae01ss3s03v9g1v9v3g2h1h2h4z2h3h4h2z2h3h3h1z2h2h2h2
在4:30内完成可以获得一束烟花🎉
在9:00内完成可以获得一朵玫瑰🌹
只要完成了就可以给自己一个赞！👍
小贴士：可以尝试拖拽数字填写。【不建议】在盘面上标X，会妨碍连通情况的观察。</t>
  </si>
  <si>
    <t>bachelor seal</t>
  </si>
  <si>
    <t>#每日谜题 (11.12)
今天是周三，每日谜题是一道【放置】题目——
Kin-Kon-Kan（金刚镜）：在一些格子内填入一条对角线（代表镜子），使得每个区域恰有一面镜子。光束从网格外的字母出发垂直射入网格，并在遇到镜子时发生反射。从某个字母出发的光束必须在另一处相同字母的位置结束。数字表示光束被镜子反射的次数。每一面镜子至少被一束光使用一次。
题目链接：（本题作者bachelor seal）
https://pzplus.tck.mn/p?kinkonkan/8/8/2kiuavl7kik0g9r4qglidp0gaAfDCcDaBhBbCAc12325531
在1:15内完成可以获得一束烟花🎉
在2:30内完成可以获得一朵玫瑰🌹
只要完成了就可以给自己一个赞！👍</t>
  </si>
  <si>
    <t>shyeheya</t>
  </si>
  <si>
    <t>#每日谜题 (11.11)
今天是周二，每日谜题是一道【涂黑II】题目——
Dominion（多米诺分区）：涂黑一些1×2的长方形，将盘面分为若干个留白的区域。涂黑的矩形不能相邻。字母不能涂黑。每个区域有且仅有一种字母，相同的字母都在同一个区域。
题目链接：（本题作者shyeheya）
https://pzplus.tck.mn/p?dominion/18/10/g-13g-15g-10g5g-12m4zs-11t-11j4l5h5j4l-15j5h5l-13j5t-13zs2m-13g9g-1ag5g4g
在3:00内完成可以获得一束烟花🎉
在6:00内完成可以获得一朵玫瑰🌹
只要完成了就可以给自己一个赞！👍</t>
  </si>
  <si>
    <t>#每日谜题 (11.10)
今天是周一，每日谜题是一道【涂黑I】题目——
Paintarea（涂鸦区域）：涂黑一些格子，使得所有涂黑的格子连通成一个整体，使得没有全部涂黑或者全部留白的2×2结构。每个区域要么全部涂黑要么全部留白。数字表示与之相邻的所有格中黑格的数量。
题目链接：（本题作者bachelor seal）
https://pzplus.tck.mn/p?paintarea/10/10/uvtvujuvnuuvvvtfnrbntvrvvvtvfvutvvvth0a1p2d2h4a2o1g1e2a1e2r
在2:00内完成可以获得一束烟花🎉
在4:00内完成可以获得一朵玫瑰🌹
只要完成了就可以给自己一个赞！👍</t>
  </si>
  <si>
    <t>vanillaice</t>
  </si>
  <si>
    <t>10:00</t>
  </si>
  <si>
    <t>#每日谜题 (11.9)
今天是周日，每日谜题是一道【路径II】题目——
Icelom（冰宫巡游）：画一条横平竖直地经过所有白色格子中心的路径，从"IN"开始，到"OUT"结束。路径需要按顺序通过所有标有数的格子。路径在白色格子上不能和自身交叉。路径不能在蓝色格子（表示冰）上转弯，但可以在这些格子上和自身交叉。
题目链接：（本题作者vanillaice）
https://pzplus.tck.mn/p?icelom/a/10/10/ped51ivn5vc9e75pnc78sdgchbhet1jfg-10q3hag5i4g2j7g6q8h9q/23/34
在5:00内完成可以获得一束烟花🎉
在10:00内完成可以获得一朵玫瑰🌹
只要完成了就可以给自己一个赞！👍  </t>
  </si>
  <si>
    <t>#每日谜题 (11.8)
今天是周六，每日谜题是一道【回路I】题目——
Dotchi Loop（二择回路）：画一条横平竖直地经过一些格子中心且不和自身交叉的回路。回路必须通过所有带白圈的格子，不通过任何带黑圈的格子。在每个区域内，回路要么在所有白圈格直行，要么在所有白圈格转弯。
题目链接：（本题作者shyeheya）
https://pzplus.tck.mn/p?dotchi/10/10/10204080g10204080gvv000000vv000000vv5443367111577333421144563341114750
在2:15内完成可以获得一束烟花🎉
在4:30内完成可以获得一朵玫瑰🌹
只要完成了就可以给自己一个赞！👍  </t>
  </si>
  <si>
    <t>takmu53</t>
  </si>
  <si>
    <t>#每日谜题 (11.7)
今天是周五，每日谜题是一道【分区】题目——
Symmetry Area（对称码牌）：沿虚格线把盘面分成若干个区域，使得任意两个相邻的区域面积都不同。数字表示其所在区域的面积。所有区域必须满足180°旋转对称。
题目链接：（本题作者takmu53）
https://pzplus.tck.mn/p?symmarea/10/10/5o2g3mag5g8lah7g7j5g7h2g1hag5h6g6j2g6halbg1g2m5g1o3
在2:30内完成可以获得一束烟花🎉
在5:00内完成可以获得一朵玫瑰🌹
只要完成了就可以给自己一个赞！👍</t>
  </si>
  <si>
    <t>_AtomicNeoN_</t>
  </si>
  <si>
    <t>#每日谜题 (11.6)
今天是周四，每日谜题是一道【填写】题目——
Simple Gako（简单计数）：在每个空格里填数，使得每个数字等于其所在的行和列中包含这个数的总格数（包括此格本身）。 
题目链接：（本题作者_AtomicNeoN_）
https://pzplus.tck.mn/p?simplegako/5/5/h314k1j3j6j
在1:00内完成可以获得一束烟花🎉
在2:00内完成可以获得一朵玫瑰🌹
只要完成了就可以给自己一个赞！👍</t>
  </si>
  <si>
    <t>ihnnpuzzles</t>
  </si>
  <si>
    <t>#每日谜题 (11.5)
今天是周三，每日谜题是一道【放置】题目——
Statue Park（雕像公园）：把给出的形状放入盘面，使得任意两个形状不重叠也不相邻（但可以对角接触），而且剩下的没有被覆盖的格子连通成一个整体。形状可以旋转或翻转。有黑圈的格子必须被某个形状覆盖，而有白圈的格子不能被覆盖。
题目链接：（本题作者ihnnpuzzles）
https://pzplus.tck.mn/p?statuepark/12/12/j00696231l9i00006639i906000i31a0i660103f30f0001i//p
在5:00内完成可以获得一束烟花🎉
在10:00内完成可以获得一朵玫瑰🌹
只要完成了就可以给自己一个赞！👍</t>
  </si>
  <si>
    <t>direkrow</t>
  </si>
  <si>
    <t>#每日谜题 (11.4)
今天是周二，每日谜题是一道【涂黑II】题目——
Tetrochain（四格骨牌链）：盘面内涂黑一些格子，使得每个涂黑的连通组均为四格骨牌。所有四格骨牌对角连通，任意两个对角相邻的四格骨牌不能全等。数字格不能涂黑。数字代表相应方向上的黑格数目。
题目链接：（本题作者direkrow）
https://pzplus.tck.mn/p?tetrochain/8/8/c44d11l33c12l11c12l33d41c
在2:00内完成可以获得一束烟花🎉
在4:00内完成可以获得一朵玫瑰🌹
只要完成了就可以给自己一个赞！👍</t>
  </si>
  <si>
    <t>QUad_R_ANgle</t>
  </si>
  <si>
    <t>#每日谜题 (11.3)
今天是周一，每日谜题是一道【涂黑I】题目——
Yajisan-Kazusan（真假仙人）：涂黑一些格子，使得涂黑的格子之间不相邻，且留白的格子连通成一个整体。在留白格内有箭头的数字表示从此格开始在这个方向中涂黑格的个数。这些提示数在涂黑格里则不提供信息。 
题目链接：（本题作者QUad_R_ANgle）
https://pzplus.tck.mn/p?yajikazu/10/10/a23f34e422442d432343l412241a11c32j32c12a432143l411441d422142e12f14a
在3:30内完成可以获得一束烟花🎉
在7:00内完成可以获得一朵玫瑰🌹
只要完成了就可以给自己一个赞！👍</t>
  </si>
  <si>
    <t>#每日谜题 (11.2)
今天是周日，每日谜题是一道【回路II】题目——
Maxi Loop（极大回路）：画一条横平竖直地经过所有格子中心且不和自身交叉的回路。数字表示回路单次经过此区域中经过格数最多的一段的格数。这个最大值必须在某次经过时达到。
题目链接：（本题作者niwabee10）
https://pzplus.tck.mn/p?maxi/8/8/i4r6h08ndg600o07dvr60pjg336g572g2
在3:30内完成可以获得一束烟花🎉
在7:00内完成可以获得一朵玫瑰🌹
只要完成了就可以给自己一个赞！👍</t>
  </si>
  <si>
    <t>WA1729</t>
  </si>
  <si>
    <t>#每日谜题 (11.1)
今天是周六，每日谜题是一道【回路I】题目——
Geradeweg（直线回路）：画一条横平竖直地经过一些格子中心且不和自身交叉的回路，并且通过所有带圈的格子。所有和一个圈相交的直线段的长度都必须等于圈里的数字。
题目链接：（本题作者WA1729）
https://pzplus.tck.mn/p?geradeweg/10/10/k4i2g123zh2m2i2h2i1m3zh234g3i1k
在3:30内完成可以获得一束烟花🎉
在7:00内完成可以获得一朵玫瑰🌹
只要完成了就可以给自己一个赞！👍  </t>
  </si>
  <si>
    <t>efzoz</t>
  </si>
  <si>
    <t>#每日谜题 (10.31)
今天是周五，每日谜题是一道【分区】题目——
Slash Pack（斜线分区）：通过在一些空格里画一条对角线把盘面分成若干个区域。每个区域必须包含每个在盘面里出现的数字恰好一次。  
题目链接：（本题作者efzoz）
https://pzplus.tck.mn/p?slashpack/9/9/g2g2h2h1l2k2t3h3j3t3h1h1i3h1h1j
在3:00内完成可以获得一束烟花🎉
在6:00内完成可以获得一朵玫瑰🌹
只要完成了就可以给自己一个赞！👍</t>
  </si>
  <si>
    <t>Bram de Laat from 20th 24HPC</t>
  </si>
  <si>
    <t>#每日谜题 (10.30)
今天是周四，每日谜题是一道【填写】题目——
Easy as ABC（简单字符）：在一些空格里填一个属于给出的列表中的字符，使得每个字符在每行和每列都恰好出现一次。盘面外的字符表示此行或此列中从这个方向看去遇到的第一个字符。有叉标记的格子不能填字符。 
题目链接：（本题作者Bram de Laat from 20th 24HPC）
https://pzplus.tck.mn/p?easyasabc/6/6/4/h23l441h1g3g34i
在3:00内完成可以获得一束烟花🎉
在6:00内完成可以获得一朵玫瑰🌹
只要完成了就可以给自己一个赞！👍</t>
  </si>
  <si>
    <t>#每日谜题 (10.29)
今天是周三，每日谜题是一道【涂黑III】题目——
Kuroclone：在每个区域内涂黑恰好两组连通的格子，使得这两组格子全等且不相邻。数字不能涂黑。数字表示其指向的相邻格所在的涂黑格连通组的面积。
题目链接：（本题作者bachelor seal）
https://pzplus.tck.mn/p?kuroclone/10/10/0060hqm5a1850c6b00102qtl046k181gm48rp46z36o25a44v35o
在1:30内完成可以获得一束烟花🎉
在3:00内完成可以获得一朵玫瑰🌹
只要完成了就可以给自己一个赞！👍</t>
  </si>
  <si>
    <t>jovi_al01</t>
  </si>
  <si>
    <t>#每日谜题 (10.28)
今天是周二，每日谜题是一道【涂黑II】题目——
Shakashaka（摇啊摇）：涂黑一些空格的一半（一个等腰直角三角形），使得所有留白的区域都是横平竖直或者对角方向的长方形。黑格里的数字表示与此格相邻的涂黑一半的空格数。
题目链接：（本题作者jovi_al01）
https://pzplus.tck.mn/p?shakashaka/10/10/iddzjbdzjddzjbcg
在2:00内完成可以获得一束烟花🎉
在4:00内完成可以获得一朵玫瑰🌹
只要完成了就可以给自己一个赞！👍</t>
  </si>
  <si>
    <t>#每日谜题 (10.27)
今天是周一，每日谜题是一道【涂黑I】题目——
Nurimisaki（数岬）：涂黑一些空格，使得所有留白的格子连通成一个整体，且没有全部涂黑或者全部留白的2×2结构。圆圈标记了所有恰好只和另一个留白格相邻的留白格。圆圈里的数字表示此格横竖能够直接连接到且不被涂黑格阻挡的留白格个数，包括此格本身。 
题目链接：（本题作者nisimuku_sen）
https://pzplus.tck.mn/p?nurimisaki/9/9/i4i2zg2o4i4p3j2v3j
在2:30内完成可以获得一束烟花🎉
在5:00内完成可以获得一朵玫瑰🌹
只要完成了就可以给自己一个赞！👍  </t>
  </si>
  <si>
    <t>しもりん</t>
  </si>
  <si>
    <t>#每日谜题 (10.26)
今天是周日，每日谜题是一道【路径II】题目——
Curve Data（曲线数据）：画一些横平竖直地经过格子中心的线段组成一些图形，使得每个连通图形恰好经过一个提示，并且每个格子都被某个图形经过。提示表示该图形的形状（不允许旋转或翻转），线段长度可以自由延长或缩短（线段长度至少为1）。
题目链接：（本题作者しもりん）
https://pzplus.tck.mn/p?curvedata/11/7/zm=l0164=5322l=zm/2/3/8b1/2/3/9b1/2/3/391/3/4/7e1261/3/4/288f01/2/2/b0/2/3/320
在2:30内完成可以获得一束烟花🎉
在5:00内完成可以获得一朵玫瑰🌹
只要完成了就可以给自己一个赞！👍</t>
  </si>
  <si>
    <t>#每日谜题 (10.25)
今天是周六，每日谜题是一道【路径I】题目——
Yosenabe（火锅）：把每个圆圈横向或纵向移动到一个灰色区域，使得每个灰色区域至少包含一个圆圈。圆圈的移动路径不能交叉，包括在端点交叉。圆圈移动时可以跨过其他灰色区域。灰色区域内的数字表示最终移动到此区域的所有圆圈内数字之和。
题目链接：（本题作者bachelor seal）
https://pzplus.tck.mn/p?yosenabe/10/10/s8belfmhius0mklkmm1nl4m4mi4n4i81iaw5t3zi4j1j5o4s33j2p
在1:15内完成可以获得一束烟花🎉
在2:30内完成可以获得一朵玫瑰🌹
只要完成了就可以给自己一个赞！👍</t>
  </si>
  <si>
    <t>AmGinE_8</t>
  </si>
  <si>
    <t>#每日谜题 (10.24)
今天是周五，每日谜题是一道【分区】题目——
Wafusuma（和障）：沿虚格线把盘面分成若干个区域，使得任意两个相邻的区域面积都不同。格线上圆圈里的数字必须介于两个不同区域之间，并表示这两个区域的面积之和。
题目链接：（本题作者AmGinE_8）
https://pzplus.tck.mn/p?wafusuma/6/6/g.g.h.g.h.g.h.g.h.g.h.g.m4.....l...5.5l
在1:30内完成可以获得一束烟花🎉
在3:00内完成可以获得一朵玫瑰🌹
只要完成了就可以给自己一个赞！👍</t>
  </si>
  <si>
    <t>Wei-Hwa Huang from 22nd 24HPC</t>
  </si>
  <si>
    <t>#每日谜题 (10.23)
今天是周四，每日谜题是一道【填写】题目——
Kropki（黑白点）：在每个空格里填一个1~N的数，使得每个数字在每行和每列都恰好出现一次（其中N是每行或每列的格数）。两格之间的白点表示两个数的差（的绝对值）为1，黑点表示两个数（按某个顺序）的比值为1:2。所有可能的黑白点都已给出。
题目链接：（本题作者Wei-Hwa Huang from 22nd 24HPC）
https://pzplus.tck.mn/p?kropki/5/5/f0956043065309
在1:30内完成可以获得一束烟花🎉
在3:00内完成可以获得一朵玫瑰🌹
只要完成了就可以给自己一个赞！👍  </t>
  </si>
  <si>
    <t>土刃</t>
  </si>
  <si>
    <t>1:45</t>
  </si>
  <si>
    <t>#每日谜题 (10.22)
今天是周三，每日谜题是一道【涂黑III】题目——
Evolmino（生长方块）：在一些空格内填入正方形，使得每一组连通的正方形都恰有一个正方形位于一条箭头上。每条箭头经过至少两组这样的连通正方形。在一条箭头上，每一组正方形（若不是第一组）必须与前一组形状完全相同（不允许旋转或翻转），并且再多出一个正方形。
题目链接：（本题作者土刃）
https://pzplus.tck.mn/p?evolmino/10/10/q907l02pi660010000000000000000i620r00a005x00z39394435343zl06b17zcj9a4
在1:45内完成可以获得一束烟花🎉
在3:30内完成可以获得一朵玫瑰🌹
只要完成了就可以给自己一个赞！👍</t>
  </si>
  <si>
    <t>#每日谜题 (10.21)
今天是周二，每日谜题是一道【涂黑II】题目——
Nuribou（数壁）：涂黑一些空格，使得每一组连通的留白格恰好包含一个数字。每一组连通的涂黑格必须是一个长或宽为一的长方形，而且互相接触的两组涂黑格面积不能相同。数字表示其所在的留白的连通组格数。 
题目链接：（本题作者xoned72）
https://pzplus.tck.mn/p?nuribou/9/9/p.g5g.g.q.k6w-11q.g.g.g.p
在3:30内完成可以获得一束烟花🎉
在7:00内完成可以获得一朵玫瑰🌹
只要完成了就可以给自己一个赞！👍</t>
  </si>
  <si>
    <t>#每日谜题 (10.20)
今天是周一，每日谜题是一道【涂黑I】题目——
Ayeheya（对称数间）：涂黑一些格子，使得涂黑的格子之间不相邻，且留白的格子连通成一个整体。任意一横段或纵段留白格不能穿过两个以上区域边界。数字表示此区域内涂黑格的个数。所有区域的涂黑情况必须满足180°旋转对称。
题目链接：（本题作者nisimuku_sen）
https://pzplus.tck.mn/p?ayeheya/10/10/8gh12284g9112244407go07v0000vv0000vvg24i6h4h
在3:00内完成可以获得一束烟花🎉
在6:00内完成可以获得一朵玫瑰🌹
只要完成了就可以给自己一个赞！👍</t>
  </si>
  <si>
    <t>#每日谜题 (10.19)
今天是周日，每日谜题是一道【回路II】题目——
Ring-ring（环环相扣）：用横平竖直地经过空格中心的长方形回路覆盖每个空格。回路之间可以相交，但是不能有边重叠，也不能共用一角。
题目链接：（本题作者bachelor seal）
https://pzplus.tck.mn/p?ringring/12/12/30ef0a2y4437v0
在2:15内完成可以获得一束烟花🎉
在4:30内完成可以获得一朵玫瑰🌹
只要完成了就可以给自己一个赞！👍
建议勾选Color each line自动染色不同回路</t>
  </si>
  <si>
    <t>muhorka</t>
  </si>
  <si>
    <t>#每日谜题 (10.18)
今天是周六，每日谜题是一道【回路I】题目——
Myopia（近视回路）：连接相邻圆点画一条不和自身交叉的回路。箭头指向所有横竖方向中离此格最近的回路线段。 
题目链接：（本题作者muhorka）
https://pzplus.tck.mn/p?myopia/8/8/2ialci3ai6jci9j3i9j5icbial3i5
在2:30内完成可以获得一束烟花🎉
在5:00内完成可以获得一朵玫瑰🌹
只要完成了就可以给自己一个赞！👍</t>
  </si>
  <si>
    <t>MIT Logic Open</t>
  </si>
  <si>
    <t>#每日谜题 (10.17)
今天是周五，每日谜题是一道【分区】题目——
Pentominous（五格拼板）：沿虚格线把盘面分成若干个五格骨牌，使得任意两个相邻的骨牌都不全等。字母表示其所在骨牌的形状。 
题目链接：（本题作者MIT Logic Open）
https://pzplus.tck.mn/p?pentominous/10/10/zzzzzg4000000000000001q01g0g00100g001g0g1
在3:00内完成可以获得一束烟花🎉
在6:00内完成可以获得一朵玫瑰🌹
只要完成了就可以给自己一个赞！👍</t>
  </si>
  <si>
    <t>asami_chiruko</t>
  </si>
  <si>
    <t>#每日谜题 (10.16)
今天是周四，每日谜题是一道【填写】题目——
Kakuro（数和）：在每个空格内放置一个1~9之间的数码，使得每一段空格内的数码不重复。黑色三角形里的数字表示其（面对的）右方的横段或下方的纵段中所有数码之和。
题目链接：（本题作者asami_chiruko）
https://pzplus.tck.mn/p?kakuro/6/6/lf--5o68l6go5bnh-m-co-gl4BC6367c
在1:45内完成可以获得一束烟花🎉
在3:30内完成可以获得一朵玫瑰🌹
只要完成了就可以给自己一个赞！👍
词源：缩略自 加算クロス(cross)</t>
  </si>
  <si>
    <t>にしなんとか</t>
  </si>
  <si>
    <t>#每日谜题 (10.15)
今天是周三，每日谜题是一道【放置】题目——
Tents（帐篷）：在盘面中的每颗树相邻的格子之一放置一顶帐篷。任意两顶帐篷不能放在同一格或者互相接触的格子内。盘面外的数字表示此行或此列内帐篷的个数。 
题目链接：（本题作者にしなんとか）
https://pzplus.tck.mn/p?tents/10/10/h1j2rzi20201a262393010b92
在1:15内完成可以获得一束烟花🎉
在2:30内完成可以获得一朵玫瑰🌹
只要完成了就可以给自己一个赞！👍  </t>
  </si>
  <si>
    <t>takmu73</t>
  </si>
  <si>
    <t>#每日谜题 (10.14)
今天是周二，每日谜题是一道【涂黑II】题目——
Tasquare（正方放置）：涂黑一些格子，使得每一组涂黑的连通组都是正方形，且留白的格子连通成一个整体。数字格不能涂黑。数字提示表示与之相邻的所有涂黑正方形的面积之和（没有数字的提示格需要和至少一个涂黑正方形相邻）。
题目链接：（本题作者takmu73）
https://pzplus.tck.mn/p?tasquare/10/10/1h2q3l5v4l6j.r8o9i..g.o.i.j
在2:00内完成可以获得一束烟花🎉
在4:00内完成可以获得一朵玫瑰🌹
只要完成了就可以给自己一个赞！👍</t>
  </si>
  <si>
    <t>#每日谜题 (10.13)
今天是周一，每日谜题是一道【涂黑I】题目——
Aqre（黑白无四）：涂黑一些空格，使得所有涂黑的格子连通成一个整体，且没有全部涂黑或者全部留白的1×4或4×1的结构。数字表示此区域内涂黑格的个数。 
题目链接：（本题作者efzoz）
https://pzplus.tck.mn/p?aqre/10/10/l9ail5ib4m9d2qllba0007fo07ho1vcf000016146145552262316
在2:00内完成可以获得一束烟花🎉
在4:00内完成可以获得一朵玫瑰🌹
只要完成了就可以给自己一个赞！👍
词源：acre+字母q</t>
  </si>
  <si>
    <t>フライパン職人</t>
  </si>
  <si>
    <t>#每日谜题 (10.12)
今天是周日，每日谜题是一道【回路II】题目——
Double Back（二次返回）：画一条横平竖直地经过所有格子中心且不和自身交叉的回路。回路必须经过每个区域恰好两次。
题目链接：（本题作者フライパン職人）
https://pzplus.tck.mn/p?doubleback/10/10/04otgr24c8jkjp35407qo447rgofvu60hr3s
在1:45内完成可以获得一束烟花🎉
在3:30内完成可以获得一朵玫瑰🌹
只要完成了就可以给自己一个赞！👍  </t>
  </si>
  <si>
    <t>brokensign</t>
  </si>
  <si>
    <t>#每日谜题 (10.11)
今天是周六，每日谜题是一道【回路I】题目——
Tapa-like Loop（土派回路）：画一条横平竖直地经过一些空格中心且不和自身交叉的回路。格内一个或多个数字表示和回路每次经过与此格接触的（至多）八格形成的区域时连续经过的格数，但不限定顺序。作为特例，一个单独的“0”表示回路不经过任何与此格接触的格子，而一个单独的问号（格内没有其他问号或数字）也可以代表“0”。
题目链接：（本题作者brokensign）
https://pzplus.tck.mn/p?tapaloop/10/10/sajmajtajhajjajvajkajkajgajvajjajh
在3:00内完成可以获得一束烟花🎉
在6:00内完成可以获得一朵玫瑰🌹
只要完成了就可以给自己一个赞！👍
词源：衍生自Tapa &lt; Turkish Art Paint</t>
  </si>
  <si>
    <t>#每日谜题 (10.10)
今天是周五，每日谜题是一道【分区】题目——
Square Jam（正方密铺）：沿虚格线把盘面分成若干个正方形区域。每个顶点不能同时是四个正方形的一角。数字表示其所在的正方形的边长。 
题目链接：（本题作者takmu53）
https://pzplus.tck.mn/p?squarejam/10/10/r1zp1i1zl1h1zh
在2:00内完成可以获得一束烟花🎉
在4:00内完成可以获得一朵玫瑰🌹
只要完成了就可以给自己一个赞！👍</t>
  </si>
  <si>
    <t>magamo8</t>
  </si>
  <si>
    <t>#每日谜题 (10.9)
今天是周四，每日谜题是一道【填写】题目——
Sukoro（数殖）：在一些空格里填数，使得所有有数字的格子连通成一个整体。每个数字必须等于与其相邻的有数字的格数。相邻的格子里不能填相同的数字。有叉标记的格子不能填数。
题目链接：（本题作者magamo8）
https://pzplus.tck.mn/p?sukoro/8/8/c3k2c2a3g2d2b4e1c22b3232i
在4:30内完成可以获得一束烟花🎉
在9:00内完成可以获得一朵玫瑰🌹
只要完成了就可以给自己一个赞！👍
触屏用户建议勾选Input numbers by panel方便填写；键盘用户可以用Z和X键盘标记○和×</t>
  </si>
  <si>
    <t>PinkHoodie</t>
  </si>
  <si>
    <t>#每日谜题 (10.8)
今天是周三，每日谜题是一道【放置】题目——
Minesweeper（扫雷）：在一些空格里放一枚地雷。数字表示在所有与此格接触的格中的总雷数。
题目链接：（本题作者PinkHoodie）
https://pzplus.tck.mn/p?mines/8/8/g43g2h2i5k6i6g3g5g4n1g3g2g3i4k2i2h3g12g
在1:30内完成可以获得一束烟花🎉
在3:00内完成可以获得一朵玫瑰🌹
只要完成了就可以给自己一个赞！👍</t>
  </si>
  <si>
    <t>#每日谜题 (10.7)
今天是周二，每日谜题是一道【涂黑II】题目——
Mochikoro（藕断丝连）：涂黑一些空格，使得没有全部涂黑的2×2结构。所有留白格互相接触，且每一组连通的留白格必须是一个长方形。数字表示其所在的留白的连通组格数。
题目链接：（本题作者x0_000）
https://pzplus.tck.mn/p?mochikoro/10/10/j6m2i2q2h2v3h1v2h1q3i1m4j
在1:30内完成可以获得一束烟花🎉
在3:00内完成可以获得一朵玫瑰🌹
只要完成了就可以给自己一个赞！👍
词源：缩略自 もちコロニー(mochi colony)</t>
  </si>
  <si>
    <t>#每日谜题 (10.6)
今天是周一，每日谜题是一道【涂黑I】题目——
Aquapelago（千岛湖）：涂黑一些格子，使得涂黑的格子之间不相邻，且留白的格子连通成一个整体。不能有全部留白的2×2结构。黑圈所在的格子必须涂黑，而圆圈里的数字表示其所在的对角连通的一组涂黑格的格数，包括格子本身。
题目链接：（本题作者djmathman）
https://pzplus.tck.mn/p?aquapelago/11/11/3zo3t4zo4t5zo5
在1:30内完成可以获得一束烟花🎉
在3:00内完成可以获得一朵玫瑰🌹
只要完成了就可以给自己一个赞！👍
词源：aqua+archipelago</t>
  </si>
  <si>
    <t>m98561442_</t>
  </si>
  <si>
    <t>#每日谜题 (10.5)
今天是周日，每日谜题是一道【回路II】题目——
Regional Yajilin（仙人指区）：画一条横平竖直地经过一些空格中心且不和自身交叉的回路，并把未经过的空格涂黑。涂黑的格子不能相邻。数字表示此区域内的黑格数。 
题目链接：（本题作者m98561442_）
https://pzplus.tck.mn/p?yajilin-regions/10/10/182h92i4k98ig4080g00vo077o0000vv00v03g331121h51
在2:00内完成可以获得一束烟花🎉
在4:00内完成可以获得一朵玫瑰🌹
只要完成了就可以给自己一个赞！👍</t>
  </si>
  <si>
    <t>#每日谜题 (10.4)
今天是周六，每日谜题是一道【路径I】题目——
Firefly/Hotaru Beam（萤火虫）：从每个圆圈（“萤火虫”）沿虚格线画出一条路径，使得所有圆圈通过路径连通成一个整体。每条路径从一个圆圈的黑点开始，在某个圆圈（可以是同一个圆圈）的黑点以外的位置结束。路径不能交叉也不能穿过圆圈。圆圈里的数字代表从它的黑点引出的路径转弯的次数。
题目链接：（本题作者x0_000）
https://puzz.link/p?firefly/10/10/2.b33b2.b3.b43b33b31e42b4.h1.b33h2.b4.h12b1.h32b1.e41b2.b2.b41b11b31b1./
在3:30内完成可以获得一束烟花🎉
在7:00内完成可以获得一朵玫瑰🌹
只要完成了就可以给自己一个赞！👍
词源：ホタル(=萤火虫)+ビーム(beam)</t>
  </si>
  <si>
    <t>homerest</t>
  </si>
  <si>
    <t>2:45</t>
  </si>
  <si>
    <t>5:30</t>
  </si>
  <si>
    <t>#每日谜题 (10.3)
今天是周五，每日谜题是一道【分区】题目——
Galaxies（星系）：沿虚格线把盘面分成若干个区域，使得每个区域包含恰好一个圆点。圆点不能在区域边界上。所有区域必须满足180°旋转对称，其中圆点必须在区域的对称中心。
题目链接：（本题作者homerest）
https://pzplus.tck.mn/p?tentaisho/10/10/g8ehejelezw64etceziegezekezzgejezgeuet66eke
在2:45内完成可以获得一束烟花🎉
在5:30内完成可以获得一朵玫瑰🌹
只要完成了就可以给自己一个赞！👍</t>
  </si>
  <si>
    <t>カルコゲン</t>
  </si>
  <si>
    <t>#每日谜题 (10.2)
今天是周四，每日谜题是一道【填写】题目——
Bosanowa（邻差和）：在每个圆圈中填入一个正整数，使得每个数等于自身与横竖相邻的数之差的总和。
题目链接：（本题作者カルコゲン）
https://pzplus.tck.mn/p?bosanowa/6/8/ppub0l2rtszg86n34u
在3:00内完成可以获得一束烟花🎉
在6:00内完成可以获得一朵玫瑰🌹
只要完成了就可以给自己一个赞！👍
触屏用户建议勾选Input numbers by panel方便填写
词源：ボサノヴァ(Bossa Nova)</t>
  </si>
  <si>
    <t>#每日谜题 (10.1)
今天是周三，每日谜题是一道【涂黑III】题目——
Kurotto（凝块）：涂黑一些空格。数字表示与此格相邻的所有涂黑的连通组的总面积。
题目链接：（本题作者bachelor seal）
https://pzplus.tck.mn/p?kurotto/10/10/j3g1j2g.i3g15i3p4j.g3i4g3h2g2i3g3j2p1i13g.i1g4j6g5j
在2:00内完成可以获得一束烟花🎉
在4:00内完成可以获得一朵玫瑰🌹
只要完成了就可以给自己一个赞！👍
词源：缩略自 クロユニット(黒unit)；WPC 2024按clot翻译</t>
  </si>
  <si>
    <t>#每日谜题 (9.30)
今天是周二，每日谜题是一道【涂黑II】题目——
Scrin（方形回路）：给一些格子涂色，使得每一组涂色的连通组都是长方形且至多包含一个圆圈。所有圆圈必须在涂色格内。每个涂色的长方形必须和恰好另外两个涂色的长方形接触，而且所有长方形必须对角连通成一个整体（形成一个环）。圈内的数字表示其所在的长方形的面积。
题目链接：（本题作者shyeheya）
https://pzplus.tck.mn/p?scrin/9/9/g2m1h4p3j3zi6j3p3h2m1g
在1:00内完成可以获得一束烟花🎉
在2:00内完成可以获得一朵玫瑰🌹
只要完成了就可以给自己一个赞！👍</t>
  </si>
  <si>
    <t>#每日谜题 (9.29)
今天是周一，每日谜题是一道【涂黑I】题目——
Parquet（拼花地板）：在每个粗线构成的区域内完全涂黑恰好一个被细线分隔的区域，使得所有涂黑的格子连通成一个整体。涂黑格不能形成回路（包括2×2结构）。
题目链接：（本题作者djmathman）
https://pzplus.tck.mn/p?parquet/12/12/802223252362171174236520602863652362771174236520626223652362171174147411056323080280636363717111636563222620652363117171656365602280036303660000
在1:45内完成可以获得一束烟花🎉
在3:30内完成可以获得一朵玫瑰🌹
只要完成了就可以给自己一个赞！👍</t>
  </si>
  <si>
    <t>#每日谜题 (9.28)
今天是周日，每日谜题是一道【回路II】题目——
Barns（冰宫巡行）：画一条横平竖直地经过所有格子中心的回路。回路不能穿过任何粗格线。回路在白格上不能和自身交叉。回路不能在（表示冰）的蓝格上转弯，但可以在这些格子上和自身交叉。
题目链接：（本题作者bachelor seal）
https://pzplus.tck.mn/p?barns/12/10/0031ssp7jou00f3psj77go000400000g00000000002000004000000g000040000000
在2:30内完成可以获得一束烟花🎉
在5:00内完成可以获得一朵玫瑰🌹
只要完成了就可以给自己一个赞！👍
词源：衍生自Icebarn = アイスバーン &lt; (German) Eisbahn = 溜冰场</t>
  </si>
  <si>
    <t>nattien</t>
  </si>
  <si>
    <t>#每日谜题 (9.27)
今天是周六，每日谜题是一道【回路I】题目——
Slitherlink（数回）：连接相邻圆点画一条不和自身交叉的回路。数字表示此格中回路经过的边数。 
题目链接：（本题作者nattien）
https://pzplus.tck.mn/p?slither/10/10/h1bl5ck702032cbjcch1b3bhddjd201126dk8bl3c
在2:00内完成可以获得一束烟花🎉
在4:00内完成可以获得一朵玫瑰🌹
只要完成了就可以给自己一个赞！👍</t>
  </si>
  <si>
    <t>K.N.Y.</t>
  </si>
  <si>
    <t>#每日谜题 (9.26)
今天是周五，每日谜题是一道【分区】题目——
Fillomino（码牌）：沿虚格线把盘面分成若干个区域，使得任意两个相邻的区域面积都不同。数字表示其所在区域的面积。 
题目链接：（本题作者K.N.Y.）
https://pzplus.tck.mn/p?fillomino/9/9/6538h14m22k2l2i2l2l2i2l2k61m53h3824
在1:30内完成可以获得一束烟花🎉
在3:00内完成可以获得一朵玫瑰🌹
只要完成了就可以给自己一个赞！👍
小贴士：可以尝试拖拽数字填写
词源：fill+-omino</t>
  </si>
  <si>
    <t>#每日谜题 (9.25)
今天是周四，每日谜题是一道【填写】题目——
Doppelblock（双黑格）：在格子内填入数字和黑格，使得每行每列均包含1~N-2和两个黑格（N为盘面边长）。盘面外的数字表示该行/列两个黑格之间的所有数字之和。
题目链接：（本题作者怎苏昂）
https://pzplus.tck.mn/p?doppelblock/6/6/555555555555u4j2u
在2:00内完成可以获得一束烟花🎉
在4:00内完成可以获得一朵玫瑰🌹
只要完成了就可以给自己一个赞！👍
小贴士：触屏用户建议勾选Input numbers by panel方便填写
词源：doppelgänger+block
本题来自谜协举办的第0届纸笔谜题竞赛PKU Puzzle Cup (PKUPC)。谜协将会在每个学期定期举办纸笔谜题竞赛（已举办至第1届），欢迎感兴趣的朋友后续前来参与！</t>
  </si>
  <si>
    <t>☆★プレアデス★☆</t>
  </si>
  <si>
    <t>0:45</t>
  </si>
  <si>
    <t>#每日谜题 (9.24)
今天是周三，每日谜题是一道【放置】题目——
Akari（美术馆）：在一些空格内放置一个灯泡，以照亮所有空格。格子里的灯泡可以照亮所有从此格横竖能够直接连接到且不被黑格阻挡的空格，包括此格本身。任意两个灯泡不能互相照亮。黑格里的数字表示与之相邻的所有格中的灯泡个数。 
题目链接：（本题作者☆★プレアデス★☆）
https://pzplus.tck.mn/p?akari/10/11/uakckchdkbkchck.mchckckcs
在0:45内完成可以获得一束烟花🎉
在1:30内完成可以获得一朵玫瑰🌹
只要完成了就可以给自己一个赞！👍</t>
  </si>
  <si>
    <t>#每日谜题 (9.23)
今天是周二，每日谜题是一道【涂黑II】题目——
Aquarium（水箱）：涂黑一些格子（代表水），使得每个区域内的水体都处于稳定状态。准确来说，在中间没有粗格线的情况下，留白的格子和涂黑的格子只能纵向相邻且留白格在上（两格之间横向的边界称为“水面”），而区域内每一组涂黑的连通组的水面必须在同一高度。盘面外的数字表示此行或此列内涂黑格的个数。 
题目链接：（本题作者takmu53）
https://pzplus.tck.mn/p?aquarium/8/8/cclqmmmlqj30bpt8emn1bpt0/3g3553g3442h244
在1:30内完成可以获得一束烟花🎉
在3:00内完成可以获得一朵玫瑰🌹
只要完成了就可以给自己一个赞！👍</t>
  </si>
  <si>
    <t>鷹野リン</t>
  </si>
  <si>
    <t>#每日谜题 (9.22)
今天是周一，每日谜题是一道【涂黑I】题目——
LITS（四格骨墙）：在每个区域内涂黑一个四格骨牌，使得所有涂黑的格子连通成一个整体，且没有全部涂黑的2×2结构。不同区域中全等的四格骨牌不能相邻。
题目链接：（本题作者鷹野リン）
https://pzplus.tck.mn/p?lits/10/10/4il9aj59mlan98jaic62ps23eoi6eb0gr64h
在2:00内完成可以获得一束烟花🎉
在4:00内完成可以获得一朵玫瑰🌹
只要完成了就可以给自己一个赞！👍</t>
  </si>
  <si>
    <t>lilva_0419</t>
  </si>
  <si>
    <t>#每日谜题 (9.21)
今天是周日，每日谜题是一道【回路II】题目——
Detour（绕道）：画一条横平竖直地经过所有格子中心且不和自身交叉的回路。数字表示回路在此区域内转弯的次数。
题目链接：（本题作者lilva_0419）
https://pzplus.tck.mn/p?detour/8/8/31cioghkj8c02gh43vs28gk07a255g3g
在3:30内完成可以获得一束烟花🎉
在7:00内完成可以获得一朵玫瑰🌹
只要完成了就可以给自己一个赞！👍</t>
  </si>
  <si>
    <t>nyancharov</t>
  </si>
  <si>
    <t>#每日谜题 (9.20)
今天是周六，每日谜题是一道【路径I】题目——
Hashi（数桥）：在一些圆圈之间画一条或两条横平竖直的线段（代表桥梁），把所有圆圈连成一个整体。线段之间不能交叉，也不能穿过其他圆圈。圆圈里的数字表示从这个圈连出的线段数。
题目链接：（本题作者nyancharov）
https://pzplus.tck.mn/p?hashi/9/9/2h4g3h3j2h2g3g1k2i1g2g3g4g3g4g4g5g3g2g2i2k1g2g3h1j3h3g4h2
在1:15内完成可以获得一束烟花🎉
在2:30内完成可以获得一朵玫瑰🌹
只要完成了就可以给自己一个赞！👍
词源：缩略自 橋をかけろ</t>
  </si>
  <si>
    <t>Yu-ri</t>
  </si>
  <si>
    <t>#每日谜题 (9.19)
今天是周五，每日谜题是一道【分区】题目——
Shikaku（数方）：沿虚格线把盘面分成若干长方形区域，使得每个区域恰好包含一个提示格。黑圈里的数字表示其所在长方形的面积。
题目链接：（本题作者Yu-ri）
https://pzplus.tck.mn/p?shikaku/10/10/s4h9j8l8k7k6l4jal4k8k8l8jch4s
在1:15内完成可以获得一束烟花🎉
在2:30内完成可以获得一朵玫瑰🌹
只要完成了就可以给自己一个赞！👍
词源：缩略自 四角に切れ</t>
  </si>
  <si>
    <t>USBe_puz</t>
  </si>
  <si>
    <t>#每日谜题 (9.18)
今天是周四，每日谜题是一道【填写】题目——
Cojun（叠叠高）：在每个空格里填一个数，使得每个区域里包含数字1~N，其中N是这个区域的总格数。相邻的格子里不能填相同的数字。对于任意两个在同区域内纵向相邻的格子，上面的格子里的数字必须比下面的大。
题目链接：（本题作者USBe_puz）
https://pzplus.tck.mn/p?cojun/8/8/6dfmrfalaqmgdgta9opuer00k2h4s3k3l3k1s3h2k
在2:45内完成可以获得一束烟花🎉
在5:30内完成可以获得一朵玫瑰🌹
只要完成了就可以给自己一个赞！👍
词源：降順</t>
  </si>
  <si>
    <t>#每日谜题 (9.17)
今天是周三，每日谜题是一道【放置】题目——
Dosun-Fuwari（气球铅球）：在每个区域中放置一个气球（○）和一个铅球（●）。铅球只能放在盘面的底部，黑色单元格的上面，或者另一个铅球的上面。气球只能放在盘面的顶部，黑色单元格的下面，或者另一个气球的下面。
题目链接：（本题作者niwabee10）
https://pzplus.tck.mn/p?dosufuwa/10/10/289a8q8afua2b2ai28vnvtfvfn7stuvunvtvth4h
在2:30内完成可以获得一束烟花🎉
在5:00内完成可以获得一朵玫瑰🌹
只要完成了就可以给自己一个赞！👍
词源：ドッスン(=砰!)+ふわり(=轻飘飘~)</t>
  </si>
  <si>
    <t>#每日谜题 (9.16)
今天是周二，每日谜题是一道【涂黑II】题目——
Hinge（合页）：涂黑一些格子，使得每一组连通的涂黑格恰被区域边界分隔为沿该区域边界对称的两部分。数字表示此区域内涂黑格的个数。
题目链接：（本题作者QUad_R_ANgle）
https://pzplus.tck.mn/p?hinge/10/10/24kp9uidaql5b57jea641p820f0060fn2r1o554414154g1g32
在2:00内完成可以获得一束烟花🎉
在4:00内完成可以获得一朵玫瑰🌹
只要完成了就可以给自己一个赞！👍</t>
  </si>
  <si>
    <t>#每日谜题 (9.15)
今天是周一，每日谜题是一道【涂黑I】题目——
Uso-One（单一谎言）：涂黑一些格子，使得涂黑的格子之间不相邻，且留白的格子连通成一个整体。数字表示与之相邻的所有格中黑格的数量。数字不能涂黑。每个区域内都恰好有一个错误的数字。
题目链接：（本题作者bachelor seal）
https://pzplus.tck.mn/p?usoone/10/10/4k98ig80g4g90i10200000vv00vv0000vv00gdiag80dqcgchdjdhco34c0djdhccjccgcg
在2:00内完成可以获得一束烟花🎉
在4:00内完成可以获得一朵玫瑰🌹
只要完成了就可以给自己一个赞！👍
词源：嘘(=谎言)+one</t>
  </si>
  <si>
    <t>李子弥</t>
  </si>
  <si>
    <t>#每日谜题 (9.14)
今天是周日，每日谜题是一道【路径II】题目——
Four Winds（四风）：从一些数字格的边中点往外画一些横平竖直的箭头。每个空格必须恰有一个箭头经过，而且箭头不能经过数字格或者穿出盘面。数字表示从此格延伸出的所有箭头占用的总格数（不包括数字格本身）。 
题目链接：（本题作者李子弥）
https://pzplus.tck.mn/p?walllogic/8/8/i5k4j4k2k7j45j4k5k5j3k4i
在2:00内完成可以获得一束烟花🎉
在4:00内完成可以获得一朵玫瑰🌹
只要完成了就可以给自己一个赞！👍
本题来自逻辑谜题线上月赛第6期（经典追求）的模拟练习；欢迎想要挑战纸笔谜题比赛的朋友们前往微信小程序「数理逻辑谜题」线上参加每届比赛，也可尝试其他比赛的存档。</t>
  </si>
  <si>
    <t>#每日谜题 (9.13)
今天是周六，每日谜题是一道【回路I】题目——
Midloop（中点回路）：画一条横平竖直地经过一些格子中心且不和自身交叉的回路。回路必须笔直经过所有黑点，而且每个黑点必须是其所在的直线段的中点。
题目链接：（本题作者bachelor seal）
https://pzplus.tck.mn/p?midloop/10/10/zz3fzg3flffhfkfzmfxft99fwfs7fhdfzfzzm
在2:15内完成可以获得一束烟花🎉
在4:30内完成可以获得一朵玫瑰🌹
只要完成了就可以给自己一个赞！👍</t>
  </si>
  <si>
    <t>fuwa_lica_chan</t>
  </si>
  <si>
    <t>3:45</t>
  </si>
  <si>
    <t>7:30</t>
  </si>
  <si>
    <t>#每日谜题 (9.12)
今天是周五，每日谜题是一道【分区】题目——
Araf（炼狱）：沿虚格线把盘面分成若干个区域，使得每个区域恰好包含两个有数字的圆圈。每个区域的面积必须严格介于区域内的两个数字之间（尤其注意面积也不能等于两个数字之一）。
题目链接：（本题作者fuwa_lica_chan）
https://pzplus.tck.mn/p?araf/8/8/2g3g6g3h2g4g2g54g3g6g3h2g3g4g32g2g4g5h4g5g2g77g5g2g4h5g2g7g5
在3:45内完成可以获得一束烟花🎉
在7:30内完成可以获得一朵玫瑰🌹
只要完成了就可以给自己一个赞！👍
词源：(Turkish) araf = purgatory</t>
  </si>
  <si>
    <t>#每日谜题 (9.11)
今天是周四，每日谜题是一道【填写】题目——
Tatebo-Yokobo（翠竹交错）：在每个白格中画一条横线“—”或竖线“ | "。相连的线段会组成更长的线段。黑格中的数字表示有多少条线段从此格引出。白格中的数字表示通过该格的线段长度。一条线段至多通过一个白色数字格。
题目链接：（本题作者bachelor seal）
https://pzplus.tck.mn/p?tateyoko/10/10/n2i2x4i42npn2nxi23n2nqi21non3pn1i3q1i52pi3pxn2nxn2i21n1x3i4pn3qi221pn1i31pi3qn2n2i3xi22n
在2:15内完成可以获得一束烟花🎉
在4:30内完成可以获得一朵玫瑰🌹
只要完成了就可以给自己一个赞！👍</t>
  </si>
  <si>
    <t>pawakun</t>
  </si>
  <si>
    <t>#每日谜题 (9.10)
今天是周三，每日谜题是一道【涂黑III】题目——
Stostone（垒石）：在每个区域内涂黑恰好一组连通的格子，使得不同区域内涂黑的连通组不相邻。数字表示区域内涂黑格的个数。如果每一组涂黑格（像一块石头一样）不改变形状地垂直下落，它们必须恰好覆盖盘面的下半部分。
题目链接：（本题作者pawakun）
https://pzplus.tck.mn/p?stostone/8/8/000c63hutm8g03vj0vgco260cj236h
在2:30内完成可以获得一束烟花🎉
在5:00内完成可以获得一朵玫瑰🌹
只要完成了就可以给自己一个赞！👍</t>
  </si>
  <si>
    <t>#每日谜题 (9.9)
今天是周二，每日谜题是一道【涂黑II】题目——
Choco Banana（巧克力香蕉）：涂黑一些格子，使得每个涂黑的连通组都是长方形，而每个留白的连通组都不是长方形。数字表示其所在的涂黑或留白的连通组的面积。
题目链接：（本题作者TealsPuzzles）
https://pzplus.tck.mn/p?cbanana/10/10/n7h34n56i5zo34n56zi7n
在3:00内完成可以获得一束烟花🎉
在6:00内完成可以获得一朵玫瑰🌹
只要完成了就可以给自己一个赞！👍</t>
  </si>
  <si>
    <t>covering.space</t>
  </si>
  <si>
    <t>#每日谜题 (9.8)
今天是周一，每日谜题是一道【涂黑I】题目——
Creek（溪流）：涂黑一些格子，使得留白的格子连通成一个整体。圆圈里的数字表示接触此顶点的涂黑格数。
题目链接：（本题作者covering.space）
https://pzplus.tck.mn/p?creek/10/10/kbj3cn632dudidhci7bdidu328cgelblb
在1:30内完成可以获得一束烟花🎉
在3:00内完成可以获得一朵玫瑰🌹
只要完成了就可以给自己一个赞！👍</t>
  </si>
  <si>
    <t>#每日谜题 (9.7)
今天是周日，每日谜题是一道【回路II】题目——
Country Road（周游列国）：画一条横平竖直地经过一些格子中心且不和自身交叉的回路。回路必须恰好经过每个区域一次。任意两个隔着区域边界相邻的格子不能都未被回路经过。数字表示此区域内回路经过的格数。
题目链接：（本题作者bachelor seal）
https://pzplus.tck.mn/p?country/10/10/akl91973e7bshlsl9a007uvi2cti8ph6fp0062g47h443h6g54g33
在2:15内完成可以获得一束烟花🎉
在4:30内完成可以获得一朵玫瑰🌹
只要完成了就可以给自己一个赞！👍</t>
  </si>
  <si>
    <t>nu_n_notami</t>
  </si>
  <si>
    <t>#每日谜题 (9.6)
今天是周六，每日谜题是一道【回路I】题目——
Angle Loop（角度回路）：经过盘面内所有有符号的顶点画一条不和自身交叉的回路。回路可以有非横平竖直的线段，但是必须恰好在有符号的顶点上转弯（并在别的地方直行）。符号的形状表示了转弯前后两条线段之间的夹角：黑色三角形表示锐角（小于90°），灰色方形表示直角（等于90°），白色五边形表示钝角（大于90°）。
题目链接：（本题作者nu_n_notami）
https://pzplus.tck.mn/p?angleloop/9/9/0a4c6a2bc1a90a0c1b0b93a0b1b0a90a1ca2a6c4a0
在2:30内完成可以获得一束烟花🎉
在5:00内完成可以获得一朵玫瑰🌹
只要完成了就可以给自己一个赞！👍</t>
  </si>
  <si>
    <t>#每日谜题 (9.5)
今天是周五，每日谜题是一道【分区】题目——
Sashigane（曲尺分割）：沿虚格线把盘面分成若干个宽度为一的L形区域。圆圈必须在所在区域内转弯的位置，而箭头则必须在区域的一端，指向转弯的位置。圆圈里的数字表示其所在区域的面积。
题目链接：（本题作者xoned72）
https://pzplus.tck.mn/p?sashigane/8/8/qhl5u9nijphhn7u3ljq
在2:30内完成可以获得一束烟花🎉
在5:00内完成可以获得一朵玫瑰🌹
只要完成了就可以给自己一个赞！👍</t>
  </si>
  <si>
    <t>トクナキラ</t>
  </si>
  <si>
    <t>#每日谜题 (9.4)
今天是周四，每日谜题是一道【填写】题目——
Makaro（极大箭头）：在每个空格里填一个数，使得每个区域里包含数字1~N，其中N是这个区域的总格数。相邻的格子里不能填相同的数字。黑格里的箭头必须指向所有与此格相邻的数字中唯一最大的一个。
题目链接：（本题作者トクナキラ）
https://pzplus.tck.mn/p?makaro/8/8/5evelrlbnungu9vdetdurdh0oejejck2idjbi2kbjejbo
在2:30内完成可以获得一束烟花🎉
在5:00内完成可以获得一朵玫瑰🌹
只要完成了就可以给自己一个赞！👍
触屏用户建议勾选Input numbers by panel方便填写</t>
  </si>
  <si>
    <t>tibisukemaru</t>
  </si>
  <si>
    <t>#每日谜题 (9.1)
今天是周一，每日谜题是一道【涂黑I】题目——
Creek（溪流）：涂黑一些格子，使得留白的格子连通成一个整体。圆圈里的数字表示接触此顶点的涂黑格数。
题目链接：（本题作者tibisukemaru）
https://pzplus.tck.mn/p?creek/10/10/icm22167cg87do7dg8ckcg77cg38ck8166dibh77c88cp
在2:30内完成可以获得一束烟花🎉
在5:00内完成可以获得一朵玫瑰🌹
只要完成了就可以给自己一个赞！👍</t>
  </si>
  <si>
    <t>#每日谜题 (8.31)
今天是周日，每日谜题是一道【回路II】题目——
Simpleloop (Short)（简单回路（短线段））：画一条横平竖直地经过所有空格中心且不和自身交叉的回路。 【⚠️变种题型规则：回路不能有线段长度超过两个单元格边长。】
题目链接：（本题作者Eric Fox）
https://puzz.link/p?simpleloop/v:/10/10/000064040000005k0000
在2:15内完成可以获得一束烟花🎉
在4:30内完成可以获得一朵玫瑰🌹
只要完成了就可以给自己一个赞！👍</t>
  </si>
  <si>
    <t>#每日谜题 (8.30)
今天是周六，每日谜题是一道【回路I】题目——
Castle Wall（城堡墙）：画一条横平竖直地经过一些空格中心且不和自身交叉的回路。黑格或白格内带箭头的数字表示从此格开始按照这个方向的所有直线段的总长度。有这些提示数的黑格必须在回路外，白格必须在回路内。
题目链接：（本题作者brokensign）
https://pzplus.tck.mn/p?castle/10/10/f00.g231g141d141b022d042g241d212b112d141g042d022b241d241g131g00.f
在3:00内完成可以获得一束烟花🎉
在6:00内完成可以获得一朵玫瑰🌹
只要完成了就可以给自己一个赞！👍</t>
  </si>
  <si>
    <t>#每日谜题 (8.29)
今天是周五，每日谜题是一道【分区】题目——
FiveCells（五格分区）：沿虚格线把盘面分成若干个五格骨牌。数字表示此格中是区域边界的边数。 
题目链接：（本题作者bachelor seal）
https://pzplus.tck.mn/p?fivecells/10/10/2b23n1a2c11a2a13f1m1c1g1b2c33b2b22e3e2a2f
在3:00内完成可以获得一束烟花🎉
在6:00内完成可以获得一朵玫瑰🌹
只要完成了就可以给自己一个赞！👍</t>
  </si>
  <si>
    <t>伊香湾</t>
  </si>
  <si>
    <t>11:00</t>
  </si>
  <si>
    <t>#每日谜题 (8.28)
今天是周四，每日谜题是一道【填写】题目——
Putteria：给每个粗线围成区域的其中一格填上等于该区域面积的数字。填有数字的格子不能有公共边，每行和每列不能有重复数字。
题目链接：（本题作者伊香湾）
https://pzplus.tck.mn/p?putteria/10/10/65d7ku76djcsktimkjdu5c3mrrmib65tsi6kzzzzz
在5:30内完成可以获得一束烟花🎉
在11:00内完成可以获得一朵玫瑰🌹
只要完成了就可以给自己一个赞！👍</t>
  </si>
  <si>
    <t>#每日谜题 (8.27)
今天是周三，每日谜题是一道【放置】题目——
Star Battle（星战）：在一些格子内放置一颗星，使得每行、列、区域内的星数等于盘面外给出的数字。任意两颗星不能放在互相接触的格子内。 
题目链接：（本题作者djmathman）
https://pzplus.tck.mn/p?starbattle/10/10/2/10rhmcugkogd6dhn124806r6e98omedacg2c
在5:00内完成可以获得一束烟花🎉
在10:00内完成可以获得一朵玫瑰🌹
只要完成了就可以给自己一个赞！👍</t>
  </si>
  <si>
    <t>3:15</t>
  </si>
  <si>
    <t>6:30</t>
  </si>
  <si>
    <t>#每日谜题 (8.26)
今天是周二，每日谜题是一道【涂黑II】题目——
Norinori（海苔）：在每个区域内涂黑恰好两格，使得每一组涂黑的连通组恰好有两格。 
题目链接：（本题作者bachelor seal）
https://pzplus.tck.mn/p?norinori/10/10/1c6nlmpdjhc1419951u2f2iv0uf5vqvmvt5u
在3:15内完成可以获得一束烟花🎉
在6:30内完成可以获得一朵玫瑰🌹
只要完成了就可以给自己一个赞！👍</t>
  </si>
  <si>
    <t>#每日谜题 (8.25)
今天是周一，每日谜题是一道【涂黑I】题目——
Nurikabe（数墙）：涂黑一些空格，使得所有涂黑的格子连通成一个整体，且没有全部涂黑的2×2结构。每一组连通的留白格必须恰好包含一个数字。数字表示其所在的留白的连通组格数。 
题目链接：（本题作者tibisukemaru）
https://pzplus.tck.mn/p?nurikabe/10/10/s8p6l6j4g5g7i3zi3zk7k
在1:15内完成可以获得一束烟花🎉
在3:30内完成可以获得一朵玫瑰🌹
只要完成了就可以给自己一个赞！👍</t>
  </si>
  <si>
    <t>@bakpao_puz</t>
  </si>
  <si>
    <t>#每日谜题 (8.24)
今天是周日，每日谜题是一道【回路II】题目——
Koburin（仙人指邻）：画一条横平竖直地经过一些空格中心且不和自身交叉的回路，并把未经过的空格涂黑。涂黑的格子不能相邻。数字表示和此格相邻的黑格数。 
题目链接：（本题作者@bakpao_puz）
https://pzplus.tck.mn/p?koburin/b/10/10/.kau.tcbrccrcuci./
在2:30内完成可以获得一束烟花🎉
在4:30内完成可以获得一朵玫瑰🌹
只要完成了就可以给自己一个赞！👍</t>
  </si>
  <si>
    <t>#每日谜题 (8.23)
今天是周六，每日谜题是一道【回路I】题目——
Slalom（巡行通关）：画一条横平竖直地经过一些白格中心且不和自身交叉的有向回路，其中起点和终点都在圆圈的格子。回路必须直行通过每个用粗虚线标记的“关卡”恰好一次。黑格里带数字的箭头表示回路从圆圈出发后经过其指向的关卡的次序。盘面中的总关卡数在圈内给出。
题目链接：（本题作者bachelor seal）
https://pzplus.tck.mn/p?slalom/d/17/17/e14271331417241418161516251526271415251615192f13341313331314152j151314141333331718241624171314261428172814133427261a15131713331524171526252c1414152iu2b4c3c4d3dg1bzk/0
在3:30内完成可以获得一束烟花🎉
在7:00内完成可以获得一朵玫瑰🌹
只要完成了就可以给自己一个赞！👍</t>
  </si>
  <si>
    <t>#每日谜题 (8.22)
今天是周五，每日谜题是一道【分区】题目——
Double Choco（双巧克力）：沿虚格线把盘面分成若干个区域，使得每个区域里恰有一组连通的灰格和一组连通的白格，而且两组格子相邻且全等。数字表示其所在区域中一个连通组的面积（也就是区域总面积的一半）。
题目链接：（本题作者Yu-ri）
https://pzplus.tck.mn/p?dbchoco/10/10/0usususu0000f7f7f7f0g4w6i4s2h1zp5r6q3i
在2:15内完成可以获得一束烟花🎉
在4:30内完成可以获得一朵玫瑰🌹
只要完成了就可以给自己一个赞！👍</t>
  </si>
  <si>
    <t>#每日谜题 (8.21)
今天是周四，每日谜题是一道【填写】题目——
Wagiri（斜线(环和切)）：在每个方格中画一条对角线，使得圈中数字等于从该顶点引出的斜线数。标有“轮”的格子必须位于至少一个环上，标有“切”的格子不能位于环上。
题目链接：（本题作者bachelor seal）
https://pzplus.tck.mn/p?wagiri/7/7/u62em3dido6cg2cmg1a1l2j2o
在1:45内完成可以获得一束烟花🎉
在3:30内完成可以获得一朵玫瑰🌹
只要完成了就可以给自己一个赞！👍</t>
  </si>
  <si>
    <t>すいそ</t>
  </si>
  <si>
    <t>#每日谜题 (8.20)
今天是周三，每日谜题是一道【放置】题目——
Pentopia（近视五格）：把给出的形状中的一部分（不一定是全部）放入盘面，使得任意两个形状不接触（对角接触也不行）。有箭头的格子不能被覆盖。格子里的箭头指向所有横竖方向中离此格最近的被覆盖的格子。 
题目链接：（本题作者すいそ）
https://pzplus.tck.mn/p?pentopia/10/10/kcwfs9hax1hfs6w8k//p
在2:30内完成可以获得一束烟花🎉
在4:00内完成可以获得一朵玫瑰🌹
只要完成了就可以给自己一个赞！👍</t>
  </si>
  <si>
    <t>#每日谜题 (8.19)
Midloop（中点回路）：画一条横平竖直地经过一些格子中心且不和自身交叉的回路。回路必须笔直经过所有黑点，而且每个黑点必须是其所在的直线段的中点。
题目链接：（本题作者bachelor seal）
https://pzplus.tck.mn/p?midloop/10/10/jfzpdfzs7fgfibfwfgfzzw7fzzi9ffzkfvfo
在2:30内完成可以获得一束烟花🎉
在4:00内完成可以获得一朵玫瑰🌹
只要完成了就可以给自己一个赞！👍
好久不见，每日谜题回来啦！</t>
  </si>
  <si>
    <t>Nikoli vol. 104 = 2003</t>
  </si>
  <si>
    <t>Nikoli vol. 58</t>
  </si>
  <si>
    <t>Nikoli vol. 176</t>
  </si>
  <si>
    <t>Menderbug</t>
  </si>
  <si>
    <t>Nikoli vol. 165</t>
  </si>
  <si>
    <t>shugaku</t>
  </si>
  <si>
    <t>School Trip</t>
  </si>
  <si>
    <t>修学旅行</t>
  </si>
  <si>
    <t>在盘面里放置一些互不重叠的1×2的长方形（表示床，其中一个格子表示枕头），并将剩下的格子涂黑，使得所有涂黑格连通成一个整体，且没有全部涂黑的2×2结构。每张床必须与至少一个涂黑格相邻。数字表示与之相邻的（至多）四格中的枕头个数。一个竖着放置的床的枕头不能放在上半部分（也就是说，不存在床头朝北的床）。</t>
  </si>
  <si>
    <t>Nikoli vol. 185 = 2023</t>
  </si>
  <si>
    <t>Nikoli vol. 171</t>
  </si>
  <si>
    <t>Nikoli vol. 182</t>
  </si>
  <si>
    <t>Nikoli vol. 173</t>
  </si>
  <si>
    <t>Wand</t>
  </si>
  <si>
    <t>Nikoli vol. 177</t>
  </si>
  <si>
    <t>Nikoli vol. 167</t>
  </si>
  <si>
    <t>Nikoli vol. 174</t>
  </si>
  <si>
    <t>wbloop</t>
  </si>
  <si>
    <t>Kuroshiro Loop</t>
  </si>
  <si>
    <t>黑白回路</t>
  </si>
  <si>
    <t>画一条横平竖直地经过一些格子中心且不和自身交叉的回路，并且通过所有带圈的格子。在连续经过的两个同色圆圈之间，回路不能转弯。在连续经过的两个异色圆圈之间，回路必须恰好转弯一次。（回路在圆圈格上的转弯不计入上述规则要求。）</t>
  </si>
  <si>
    <t>WPC2024IB, 规则有变</t>
  </si>
  <si>
    <t>画一条横平竖直地经过一些格子中心且不和自身交叉的回路，并且通过所有带圈的格子。如果两个圆圈格横竖相邻，则回路在其中一格直行，在另一格拐弯。如果回路在圆圈格直行，则圈内数字表示沿回路连续出现该数量的直行格。如果在圆圈格拐弯，则圈内数字表示沿回路连续出现该数量的拐弯格。</t>
  </si>
  <si>
    <t>?</t>
  </si>
  <si>
    <r>
      <rPr>
        <color rgb="FF175CEB"/>
        <sz val="16"/>
        <u/>
      </rPr>
      <t>Eric Fox的英文规则词典</t>
    </r>
  </si>
  <si>
    <r>
      <rPr>
        <color rgb="FF175CEB"/>
        <sz val="16"/>
        <u/>
      </rPr>
      <t>yyao的谜题分类学</t>
    </r>
  </si>
  <si>
    <r>
      <rPr>
        <color rgb="FF175CEB"/>
        <sz val="16"/>
        <u/>
      </rPr>
      <t>WPC unofficial wiki</t>
    </r>
  </si>
  <si>
    <r>
      <rPr>
        <color rgb="FF175CEB"/>
        <sz val="16"/>
        <u/>
      </rPr>
      <t>puzz.link的题型列表</t>
    </r>
  </si>
  <si>
    <r>
      <rPr>
        <b val="0"/>
        <i val="0"/>
        <strike val="0"/>
        <color rgb="FF175CEB"/>
        <sz val="16"/>
        <u/>
      </rPr>
      <t>pzprxs.vercel.app的题型列表</t>
    </r>
  </si>
  <si>
    <r>
      <rPr>
        <b val="0"/>
        <color rgb="FF175CEB"/>
        <sz val="16"/>
        <u/>
      </rPr>
      <t>November的GAPP规则译文</t>
    </r>
  </si>
  <si>
    <r>
      <rPr>
        <b val="0"/>
        <i val="0"/>
        <strike val="0"/>
        <color rgb="FF000000"/>
        <sz val="16"/>
        <u val="none"/>
      </rPr>
      <t>本文档旨在收集并总结</t>
    </r>
    <r>
      <rPr>
        <b val="1"/>
        <i val="0"/>
        <strike val="0"/>
        <color rgb="FF000000"/>
        <sz val="16"/>
        <u val="none"/>
      </rPr>
      <t>来源较为权威</t>
    </r>
    <r>
      <rPr>
        <b val="0"/>
        <i val="0"/>
        <strike val="0"/>
        <color rgb="FF000000"/>
        <sz val="16"/>
        <u val="none"/>
      </rPr>
      <t>的纸笔谜题规则的【</t>
    </r>
    <r>
      <rPr>
        <b val="1"/>
        <i val="0"/>
        <strike val="0"/>
        <color rgb="FF000000"/>
        <sz val="16"/>
        <u val="none"/>
      </rPr>
      <t>中文译文</t>
    </r>
    <r>
      <rPr>
        <b val="0"/>
        <i val="0"/>
        <strike val="0"/>
        <color rgb="FF000000"/>
        <sz val="16"/>
        <u val="none"/>
      </rPr>
      <t>】。</t>
    </r>
  </si>
  <si>
    <r>
      <rPr>
        <b val="0"/>
        <i val="0"/>
        <strike val="0"/>
        <color rgb="FF000000"/>
        <sz val="16"/>
        <u val="none"/>
      </rPr>
      <t>- 在题目的类别归属上，优先选择</t>
    </r>
    <r>
      <rPr>
        <b val="1"/>
        <i val="0"/>
        <strike val="0"/>
        <color rgb="FF000000"/>
        <sz val="16"/>
        <u val="none"/>
      </rPr>
      <t>浅显</t>
    </r>
    <r>
      <rPr>
        <b val="0"/>
        <i val="0"/>
        <strike val="0"/>
        <color rgb="FF000000"/>
        <sz val="16"/>
        <u val="none"/>
      </rPr>
      <t>的理解方式（例如Cave在涂黑类）。</t>
    </r>
  </si>
  <si>
    <r>
      <rPr>
        <b val="1"/>
        <i val="0"/>
        <strike val="0"/>
        <color rgb="FF000000"/>
        <sz val="10"/>
        <u val="none"/>
      </rPr>
      <t>Etymology (</t>
    </r>
    <r>
      <rPr>
        <b val="1"/>
        <i val="0"/>
        <strike val="0"/>
        <color rgb="FFC00000"/>
        <sz val="10"/>
        <u val="none"/>
      </rPr>
      <t>jp</t>
    </r>
    <r>
      <rPr>
        <b val="1"/>
        <i val="0"/>
        <strike val="0"/>
        <color rgb="FF000000"/>
        <sz val="10"/>
        <u val="none"/>
      </rPr>
      <t xml:space="preserve"> </t>
    </r>
    <r>
      <rPr>
        <b val="1"/>
        <i val="0"/>
        <strike val="0"/>
        <color rgb="FF0070C0"/>
        <sz val="10"/>
        <u val="none"/>
      </rPr>
      <t>en</t>
    </r>
    <r>
      <rPr>
        <b val="1"/>
        <i val="0"/>
        <strike val="0"/>
        <color rgb="FF000000"/>
        <sz val="10"/>
        <u val="none"/>
      </rPr>
      <t>)</t>
    </r>
  </si>
  <si>
    <r>
      <rPr>
        <b val="1"/>
        <i val="0"/>
        <strike val="0"/>
        <color rgb="FF000000"/>
        <sz val="10"/>
      </rPr>
      <t>命名缘由（</t>
    </r>
    <r>
      <rPr>
        <b val="1"/>
        <i val="0"/>
        <strike val="0"/>
        <color rgb="FFC00000"/>
        <sz val="10"/>
      </rPr>
      <t>日</t>
    </r>
    <r>
      <rPr>
        <b val="1"/>
        <i val="0"/>
        <strike val="0"/>
        <color rgb="FF000000"/>
        <sz val="10"/>
      </rPr>
      <t xml:space="preserve"> </t>
    </r>
    <r>
      <rPr>
        <b val="1"/>
        <i val="0"/>
        <strike val="0"/>
        <color rgb="FF0070C0"/>
        <sz val="10"/>
      </rPr>
      <t>英</t>
    </r>
    <r>
      <rPr>
        <b val="1"/>
        <i val="0"/>
        <strike val="0"/>
        <color rgb="FF000000"/>
        <sz val="10"/>
      </rPr>
      <t>）</t>
    </r>
  </si>
  <si>
    <r>
      <rPr>
        <b val="1"/>
        <i val="0"/>
        <strike val="0"/>
        <color rgb="FFC00000"/>
        <sz val="10"/>
      </rPr>
      <t>ひとり</t>
    </r>
    <r>
      <rPr>
        <b val="0"/>
        <i val="0"/>
        <strike val="0"/>
        <color rgb="FF000000"/>
        <sz val="10"/>
      </rPr>
      <t>(=独自)</t>
    </r>
  </si>
  <si>
    <r>
      <rPr>
        <b val="1"/>
        <i val="0"/>
        <strike val="0"/>
        <color rgb="FF0070C0"/>
        <sz val="10"/>
      </rPr>
      <t>acre</t>
    </r>
    <r>
      <rPr>
        <b val="0"/>
        <i val="0"/>
        <strike val="0"/>
        <color rgb="FF000000"/>
        <sz val="10"/>
      </rPr>
      <t>+字母</t>
    </r>
    <r>
      <rPr>
        <b val="1"/>
        <i val="0"/>
        <strike val="0"/>
        <color rgb="FF000000"/>
        <sz val="10"/>
      </rPr>
      <t>q</t>
    </r>
  </si>
  <si>
    <r>
      <rPr>
        <b val="1"/>
        <i val="0"/>
        <strike val="0"/>
        <color rgb="FFC00000"/>
        <sz val="10"/>
      </rPr>
      <t>空き地</t>
    </r>
    <r>
      <rPr>
        <b val="0"/>
        <i val="0"/>
        <strike val="0"/>
        <color rgb="FF000000"/>
        <sz val="10"/>
      </rPr>
      <t>+</t>
    </r>
    <r>
      <rPr>
        <b val="1"/>
        <i val="0"/>
        <strike val="0"/>
        <color rgb="FF0070C0"/>
        <sz val="10"/>
      </rPr>
      <t>heyawake</t>
    </r>
  </si>
  <si>
    <r>
      <rPr>
        <b val="1"/>
        <i val="0"/>
        <strike val="0"/>
        <color rgb="FFC00000"/>
        <sz val="10"/>
      </rPr>
      <t>隅</t>
    </r>
    <r>
      <rPr>
        <b val="0"/>
        <i val="0"/>
        <strike val="0"/>
        <color rgb="FF000000"/>
        <sz val="10"/>
      </rPr>
      <t>+</t>
    </r>
    <r>
      <rPr>
        <b val="1"/>
        <i val="0"/>
        <strike val="0"/>
        <color rgb="FF0070C0"/>
        <sz val="10"/>
      </rPr>
      <t>heyawake</t>
    </r>
  </si>
  <si>
    <r>
      <rPr>
        <b val="1"/>
        <i val="0"/>
        <strike val="0"/>
        <color rgb="FFC00000"/>
        <sz val="10"/>
      </rPr>
      <t>嘘</t>
    </r>
    <r>
      <rPr>
        <b val="0"/>
        <i val="0"/>
        <strike val="0"/>
        <color rgb="FF000000"/>
        <sz val="10"/>
      </rPr>
      <t>+</t>
    </r>
    <r>
      <rPr>
        <b val="1"/>
        <i val="0"/>
        <strike val="0"/>
        <color rgb="FF0070C0"/>
        <sz val="10"/>
      </rPr>
      <t>one</t>
    </r>
  </si>
  <si>
    <r>
      <rPr>
        <b val="0"/>
        <i val="0"/>
        <strike val="0"/>
        <color rgb="FF000000"/>
        <sz val="10"/>
      </rPr>
      <t xml:space="preserve">缩略自 </t>
    </r>
    <r>
      <rPr>
        <b val="1"/>
        <i val="0"/>
        <strike val="0"/>
        <color rgb="FFC00000"/>
        <sz val="10"/>
      </rPr>
      <t>矢印さん</t>
    </r>
    <r>
      <rPr>
        <b val="0"/>
        <i val="0"/>
        <strike val="0"/>
        <color rgb="FF000000"/>
        <sz val="10"/>
      </rPr>
      <t>+</t>
    </r>
    <r>
      <rPr>
        <b val="1"/>
        <i val="0"/>
        <strike val="0"/>
        <color rgb="FFC00000"/>
        <sz val="10"/>
      </rPr>
      <t>数さん</t>
    </r>
  </si>
  <si>
    <r>
      <rPr>
        <b val="0"/>
        <i val="0"/>
        <strike val="0"/>
        <color rgb="FF000000"/>
        <sz val="10"/>
      </rPr>
      <t xml:space="preserve">缩略自 </t>
    </r>
    <r>
      <rPr>
        <b val="1"/>
        <i val="0"/>
        <strike val="0"/>
        <color rgb="FFC00000"/>
        <sz val="10"/>
      </rPr>
      <t>黒マスはどこだ</t>
    </r>
  </si>
  <si>
    <r>
      <rPr>
        <b val="1"/>
        <i val="0"/>
        <strike val="0"/>
        <color rgb="FF0070C0"/>
        <sz val="10"/>
      </rPr>
      <t>paint</t>
    </r>
    <r>
      <rPr>
        <b val="0"/>
        <i val="0"/>
        <strike val="0"/>
        <color rgb="FF000000"/>
        <sz val="10"/>
      </rPr>
      <t>+</t>
    </r>
    <r>
      <rPr>
        <b val="1"/>
        <i val="0"/>
        <strike val="0"/>
        <color rgb="FF0070C0"/>
        <sz val="10"/>
      </rPr>
      <t>area</t>
    </r>
  </si>
  <si>
    <r>
      <rPr>
        <b val="1"/>
        <i val="0"/>
        <strike val="0"/>
        <color rgb="FFC00000"/>
        <sz val="10"/>
      </rPr>
      <t>塗り</t>
    </r>
    <r>
      <rPr>
        <b val="0"/>
        <i val="0"/>
        <strike val="0"/>
        <color rgb="FF000000"/>
        <sz val="10"/>
      </rPr>
      <t>+</t>
    </r>
    <r>
      <rPr>
        <b val="1"/>
        <i val="0"/>
        <strike val="0"/>
        <color rgb="FF0070C0"/>
        <sz val="10"/>
      </rPr>
      <t>twin</t>
    </r>
  </si>
  <si>
    <r>
      <rPr>
        <b val="1"/>
        <i val="0"/>
        <strike val="0"/>
        <color rgb="FF0070C0"/>
        <sz val="10"/>
      </rPr>
      <t>aqua</t>
    </r>
    <r>
      <rPr>
        <b val="0"/>
        <i val="0"/>
        <strike val="0"/>
        <color rgb="FF000000"/>
        <sz val="10"/>
      </rPr>
      <t>+</t>
    </r>
    <r>
      <rPr>
        <b val="1"/>
        <i val="0"/>
        <strike val="0"/>
        <color rgb="FF0070C0"/>
        <sz val="10"/>
      </rPr>
      <t>archipelago</t>
    </r>
  </si>
  <si>
    <r>
      <rPr>
        <b val="1"/>
        <i val="0"/>
        <strike val="0"/>
        <color rgb="FFC00000"/>
        <sz val="10"/>
      </rPr>
      <t>塗り</t>
    </r>
    <r>
      <rPr>
        <b val="0"/>
        <i val="0"/>
        <strike val="0"/>
        <color rgb="FF000000"/>
        <sz val="10"/>
      </rPr>
      <t>+</t>
    </r>
    <r>
      <rPr>
        <b val="1"/>
        <i val="0"/>
        <strike val="0"/>
        <color rgb="FFC00000"/>
        <sz val="10"/>
      </rPr>
      <t>岬</t>
    </r>
  </si>
  <si>
    <r>
      <rPr>
        <b val="1"/>
        <i val="0"/>
        <strike val="0"/>
        <color rgb="FF0070C0"/>
        <sz val="10"/>
      </rPr>
      <t>sashigane</t>
    </r>
    <r>
      <rPr>
        <b val="0"/>
        <i val="0"/>
        <strike val="0"/>
        <color rgb="FF000000"/>
        <sz val="10"/>
      </rPr>
      <t>+</t>
    </r>
    <r>
      <rPr>
        <b val="1"/>
        <i val="0"/>
        <strike val="0"/>
        <color rgb="FF0070C0"/>
        <sz val="10"/>
      </rPr>
      <t>nurikabe</t>
    </r>
  </si>
  <si>
    <r>
      <rPr>
        <b val="1"/>
        <i val="0"/>
        <strike val="0"/>
        <color rgb="FFC00000"/>
        <sz val="10"/>
      </rPr>
      <t>塗り</t>
    </r>
    <r>
      <rPr>
        <b val="0"/>
        <i val="0"/>
        <strike val="0"/>
        <color rgb="FF000000"/>
        <sz val="10"/>
      </rPr>
      <t>+</t>
    </r>
    <r>
      <rPr>
        <b val="1"/>
        <i val="0"/>
        <strike val="0"/>
        <color rgb="FF0070C0"/>
        <sz val="10"/>
      </rPr>
      <t>maze</t>
    </r>
  </si>
  <si>
    <r>
      <rPr>
        <b val="1"/>
        <i val="0"/>
        <strike val="0"/>
        <color rgb="FFC00000"/>
        <sz val="10"/>
      </rPr>
      <t>ノリ</t>
    </r>
    <r>
      <rPr>
        <b val="0"/>
        <i val="0"/>
        <strike val="0"/>
        <color rgb="FF000000"/>
        <sz val="10"/>
      </rPr>
      <t>(=海苔)</t>
    </r>
  </si>
  <si>
    <r>
      <rPr>
        <b val="0"/>
        <i val="0"/>
        <strike val="0"/>
        <color rgb="FF000000"/>
        <sz val="10"/>
      </rPr>
      <t xml:space="preserve">缩略自 </t>
    </r>
    <r>
      <rPr>
        <b val="1"/>
        <i val="0"/>
        <strike val="0"/>
        <color rgb="FFC00000"/>
        <sz val="10"/>
      </rPr>
      <t>チョコに国境なし</t>
    </r>
    <r>
      <rPr>
        <b val="0"/>
        <i val="0"/>
        <strike val="0"/>
        <color rgb="FF000000"/>
        <sz val="10"/>
      </rPr>
      <t>(choco无国界)</t>
    </r>
  </si>
  <si>
    <r>
      <rPr>
        <b val="1"/>
        <i val="0"/>
        <strike val="0"/>
        <color rgb="FF0070C0"/>
        <sz val="10"/>
      </rPr>
      <t>tile</t>
    </r>
    <r>
      <rPr>
        <b val="0"/>
        <i val="0"/>
        <strike val="0"/>
        <color rgb="FF000000"/>
        <sz val="10"/>
      </rPr>
      <t>+</t>
    </r>
    <r>
      <rPr>
        <b val="1"/>
        <i val="0"/>
        <strike val="0"/>
        <color rgb="FF0070C0"/>
        <sz val="10"/>
      </rPr>
      <t>paint</t>
    </r>
  </si>
  <si>
    <r>
      <rPr>
        <b val="1"/>
        <i val="0"/>
        <strike val="0"/>
        <color rgb="FFC00000"/>
        <sz val="10"/>
      </rPr>
      <t>シャカシャカ</t>
    </r>
    <r>
      <rPr>
        <b val="0"/>
        <i val="0"/>
        <strike val="0"/>
        <color rgb="FF000000"/>
        <sz val="10"/>
      </rPr>
      <t xml:space="preserve"> (拟声词, 沙沙声)</t>
    </r>
  </si>
  <si>
    <r>
      <rPr>
        <b val="1"/>
        <i val="0"/>
        <strike val="0"/>
        <color rgb="FF0070C0"/>
        <sz val="10"/>
      </rPr>
      <t>tetromino</t>
    </r>
    <r>
      <rPr>
        <b val="0"/>
        <i val="0"/>
        <strike val="0"/>
        <color rgb="FF000000"/>
        <sz val="10"/>
      </rPr>
      <t>+</t>
    </r>
    <r>
      <rPr>
        <b val="1"/>
        <i val="0"/>
        <strike val="0"/>
        <color rgb="FF0070C0"/>
        <sz val="10"/>
      </rPr>
      <t>chain</t>
    </r>
    <r>
      <rPr>
        <b val="0"/>
        <i val="0"/>
        <strike val="0"/>
        <color rgb="FF000000"/>
        <sz val="10"/>
      </rPr>
      <t>+</t>
    </r>
    <r>
      <rPr>
        <b val="1"/>
        <i val="0"/>
        <strike val="0"/>
        <color rgb="FF0070C0"/>
        <sz val="10"/>
      </rPr>
      <t>Y</t>
    </r>
    <r>
      <rPr>
        <b val="0"/>
        <i val="0"/>
        <strike val="0"/>
        <color rgb="FF000000"/>
        <sz val="10"/>
      </rPr>
      <t>(ajilin)</t>
    </r>
  </si>
  <si>
    <r>
      <rPr>
        <b val="1"/>
        <i val="0"/>
        <strike val="0"/>
        <color rgb="FFC00000"/>
        <sz val="10"/>
      </rPr>
      <t>海苔</t>
    </r>
    <r>
      <rPr>
        <b val="0"/>
        <i val="0"/>
        <strike val="0"/>
        <color rgb="FF000000"/>
        <sz val="10"/>
      </rPr>
      <t>+</t>
    </r>
    <r>
      <rPr>
        <b val="1"/>
        <i val="0"/>
        <strike val="0"/>
        <color rgb="FFC00000"/>
        <sz val="10"/>
      </rPr>
      <t>塗り</t>
    </r>
    <r>
      <rPr>
        <b val="0"/>
        <i val="0"/>
        <strike val="0"/>
        <color rgb="FF000000"/>
        <sz val="10"/>
      </rPr>
      <t>, 别名</t>
    </r>
    <r>
      <rPr>
        <b val="1"/>
        <i val="0"/>
        <strike val="0"/>
        <color rgb="FFC00000"/>
        <sz val="10"/>
      </rPr>
      <t>Norikabe</t>
    </r>
    <r>
      <rPr>
        <b val="0"/>
        <i val="0"/>
        <strike val="0"/>
        <color rgb="FF000000"/>
        <sz val="10"/>
      </rPr>
      <t xml:space="preserve"> = </t>
    </r>
    <r>
      <rPr>
        <b val="1"/>
        <i val="0"/>
        <strike val="0"/>
        <color rgb="FFC00000"/>
        <sz val="10"/>
      </rPr>
      <t>海苔</t>
    </r>
    <r>
      <rPr>
        <b val="0"/>
        <i val="0"/>
        <strike val="0"/>
        <color rgb="FF000000"/>
        <sz val="10"/>
      </rPr>
      <t>+</t>
    </r>
    <r>
      <rPr>
        <b val="1"/>
        <i val="0"/>
        <strike val="0"/>
        <color rgb="FFC00000"/>
        <sz val="10"/>
      </rPr>
      <t>塗壁</t>
    </r>
    <r>
      <rPr>
        <b val="0"/>
        <i val="0"/>
        <strike val="0"/>
        <color rgb="FF000000"/>
        <sz val="10"/>
      </rPr>
      <t>(即Nurikabe)</t>
    </r>
  </si>
  <si>
    <r>
      <rPr>
        <b val="1"/>
        <i val="0"/>
        <strike val="0"/>
        <color rgb="FF000000"/>
        <sz val="10"/>
      </rPr>
      <t>Wittgenstein</t>
    </r>
    <r>
      <rPr>
        <b val="0"/>
        <i val="0"/>
        <strike val="0"/>
        <color rgb="FF000000"/>
        <sz val="10"/>
      </rPr>
      <t>+Briquet(命名者的一题型); 日文原名</t>
    </r>
    <r>
      <rPr>
        <b val="1"/>
        <i val="0"/>
        <strike val="0"/>
        <color rgb="FF0070C0"/>
        <sz val="10"/>
      </rPr>
      <t>Desk Place</t>
    </r>
  </si>
  <si>
    <r>
      <rPr>
        <b val="1"/>
        <i val="0"/>
        <strike val="0"/>
        <color rgb="FFAE2E19"/>
        <sz val="10"/>
      </rPr>
      <t>塗り</t>
    </r>
    <r>
      <rPr>
        <b val="0"/>
        <i val="0"/>
        <strike val="0"/>
        <color rgb="FF000000"/>
        <sz val="10"/>
      </rPr>
      <t>+</t>
    </r>
    <r>
      <rPr>
        <b val="1"/>
        <i val="0"/>
        <strike val="0"/>
        <color rgb="FFAE2E19"/>
        <sz val="10"/>
      </rPr>
      <t>棒</t>
    </r>
  </si>
  <si>
    <r>
      <rPr>
        <b val="0"/>
        <i val="0"/>
        <strike val="0"/>
        <color rgb="FF000000"/>
        <sz val="10"/>
      </rPr>
      <t xml:space="preserve">缩略自 </t>
    </r>
    <r>
      <rPr>
        <b val="1"/>
        <i val="0"/>
        <strike val="0"/>
        <color rgb="FFC00000"/>
        <sz val="10"/>
      </rPr>
      <t>もちコロニー</t>
    </r>
    <r>
      <rPr>
        <b val="0"/>
        <i val="0"/>
        <strike val="0"/>
        <color rgb="FF000000"/>
        <sz val="10"/>
      </rPr>
      <t>(mochi colony)</t>
    </r>
  </si>
  <si>
    <r>
      <rPr>
        <b val="1"/>
        <i val="0"/>
        <strike val="0"/>
        <color rgb="FFC00000"/>
        <sz val="10"/>
      </rPr>
      <t>たす</t>
    </r>
    <r>
      <rPr>
        <b val="0"/>
        <i val="0"/>
        <strike val="0"/>
        <color rgb="FF000000"/>
        <sz val="10"/>
      </rPr>
      <t>(=加)+</t>
    </r>
    <r>
      <rPr>
        <b val="1"/>
        <i val="0"/>
        <strike val="0"/>
        <color rgb="FFC00000"/>
        <sz val="10"/>
      </rPr>
      <t>スクエア</t>
    </r>
    <r>
      <rPr>
        <b val="0"/>
        <i val="0"/>
        <strike val="0"/>
        <color rgb="FF000000"/>
        <sz val="10"/>
      </rPr>
      <t>(square)</t>
    </r>
  </si>
  <si>
    <r>
      <rPr>
        <b val="1"/>
        <i val="0"/>
        <strike val="0"/>
        <color rgb="FFC00000"/>
        <sz val="10"/>
      </rPr>
      <t>もちコロ</t>
    </r>
    <r>
      <rPr>
        <b val="0"/>
        <i val="0"/>
        <strike val="0"/>
        <color rgb="FF000000"/>
        <sz val="10"/>
      </rPr>
      <t>(见Mochikoro)+</t>
    </r>
    <r>
      <rPr>
        <b val="1"/>
        <i val="0"/>
        <strike val="0"/>
        <color rgb="FFC00000"/>
        <sz val="10"/>
      </rPr>
      <t>にょろにょろ</t>
    </r>
    <r>
      <rPr>
        <b val="0"/>
        <i val="0"/>
        <strike val="0"/>
        <color rgb="FF000000"/>
        <sz val="10"/>
      </rPr>
      <t>(拟声词, 蠕动)</t>
    </r>
  </si>
  <si>
    <r>
      <rPr>
        <b val="0"/>
        <i val="0"/>
        <strike val="0"/>
        <color rgb="FF000000"/>
        <sz val="10"/>
      </rPr>
      <t xml:space="preserve">(French) </t>
    </r>
    <r>
      <rPr>
        <b val="1"/>
        <i val="0"/>
        <strike val="0"/>
        <color rgb="FF000000"/>
        <sz val="10"/>
      </rPr>
      <t>binaire</t>
    </r>
    <r>
      <rPr>
        <b val="0"/>
        <i val="0"/>
        <strike val="0"/>
        <color rgb="FF000000"/>
        <sz val="10"/>
      </rPr>
      <t xml:space="preserve"> = binary</t>
    </r>
  </si>
  <si>
    <r>
      <rPr>
        <b val="0"/>
        <i val="0"/>
        <strike val="0"/>
        <color rgb="FF000000"/>
        <sz val="10"/>
      </rPr>
      <t xml:space="preserve">缩略自 </t>
    </r>
    <r>
      <rPr>
        <b val="1"/>
        <i val="0"/>
        <strike val="0"/>
        <color rgb="FFC00000"/>
        <sz val="10"/>
      </rPr>
      <t>スクエア</t>
    </r>
    <r>
      <rPr>
        <b val="0"/>
        <i val="0"/>
        <strike val="0"/>
        <color rgb="FF000000"/>
        <sz val="10"/>
      </rPr>
      <t>(square)+</t>
    </r>
    <r>
      <rPr>
        <b val="1"/>
        <i val="0"/>
        <strike val="0"/>
        <color rgb="FFC00000"/>
        <sz val="10"/>
      </rPr>
      <t>リング</t>
    </r>
    <r>
      <rPr>
        <b val="0"/>
        <i val="0"/>
        <strike val="0"/>
        <color rgb="FF000000"/>
        <sz val="10"/>
      </rPr>
      <t>(ring)?</t>
    </r>
  </si>
  <si>
    <r>
      <rPr>
        <b val="1"/>
        <i val="0"/>
        <strike val="0"/>
        <color rgb="FF0070C0"/>
        <sz val="10"/>
      </rPr>
      <t>tetromino</t>
    </r>
    <r>
      <rPr>
        <b val="0"/>
        <i val="0"/>
        <strike val="0"/>
        <color rgb="FF000000"/>
        <sz val="10"/>
      </rPr>
      <t>+</t>
    </r>
    <r>
      <rPr>
        <b val="1"/>
        <i val="0"/>
        <strike val="0"/>
        <color rgb="FF0070C0"/>
        <sz val="10"/>
      </rPr>
      <t>chain</t>
    </r>
    <r>
      <rPr>
        <b val="0"/>
        <i val="0"/>
        <strike val="0"/>
        <color rgb="FF000000"/>
        <sz val="10"/>
      </rPr>
      <t>+</t>
    </r>
    <r>
      <rPr>
        <b val="1"/>
        <i val="0"/>
        <strike val="0"/>
        <color rgb="FF0070C0"/>
        <sz val="10"/>
      </rPr>
      <t>K</t>
    </r>
    <r>
      <rPr>
        <b val="0"/>
        <i val="0"/>
        <strike val="0"/>
        <color rgb="FF000000"/>
        <sz val="10"/>
      </rPr>
      <t>(urarin)</t>
    </r>
  </si>
  <si>
    <r>
      <rPr>
        <b val="0"/>
        <i val="0"/>
        <strike val="0"/>
        <color rgb="FF000000"/>
        <sz val="10"/>
      </rPr>
      <t xml:space="preserve">讹变自 </t>
    </r>
    <r>
      <rPr>
        <b val="1"/>
        <i val="0"/>
        <strike val="0"/>
        <color rgb="FFC00000"/>
        <sz val="10"/>
      </rPr>
      <t>るっくえあ</t>
    </r>
    <r>
      <rPr>
        <b val="0"/>
        <i val="0"/>
        <strike val="0"/>
        <color rgb="FF000000"/>
        <sz val="10"/>
      </rPr>
      <t xml:space="preserve"> &lt; 缩略自 </t>
    </r>
    <r>
      <rPr>
        <b val="1"/>
        <i val="0"/>
        <strike val="0"/>
        <color rgb="FFC00000"/>
        <sz val="10"/>
      </rPr>
      <t>ルック</t>
    </r>
    <r>
      <rPr>
        <b val="0"/>
        <i val="0"/>
        <strike val="0"/>
        <color rgb="FF000000"/>
        <sz val="10"/>
      </rPr>
      <t>(look)+</t>
    </r>
    <r>
      <rPr>
        <b val="1"/>
        <i val="0"/>
        <strike val="0"/>
        <color rgb="FFC00000"/>
        <sz val="10"/>
      </rPr>
      <t>スクエア</t>
    </r>
    <r>
      <rPr>
        <b val="0"/>
        <i val="0"/>
        <strike val="0"/>
        <color rgb="FF000000"/>
        <sz val="10"/>
      </rPr>
      <t>(square)?</t>
    </r>
  </si>
  <si>
    <r>
      <rPr>
        <b val="1"/>
        <i val="0"/>
        <strike val="0"/>
        <color rgb="FFC00000"/>
        <sz val="10"/>
      </rPr>
      <t>三叉</t>
    </r>
    <r>
      <rPr>
        <b val="0"/>
        <i val="0"/>
        <strike val="0"/>
        <color rgb="FF000000"/>
        <sz val="10"/>
      </rPr>
      <t>+</t>
    </r>
    <r>
      <rPr>
        <b val="1"/>
        <i val="0"/>
        <strike val="0"/>
        <color rgb="FF0070C0"/>
        <sz val="10"/>
      </rPr>
      <t>road</t>
    </r>
  </si>
  <si>
    <r>
      <rPr>
        <b val="0"/>
        <i val="0"/>
        <strike val="0"/>
        <color rgb="FF000000"/>
        <sz val="10"/>
      </rPr>
      <t xml:space="preserve">缩略自 </t>
    </r>
    <r>
      <rPr>
        <b val="1"/>
        <i val="0"/>
        <strike val="0"/>
        <color rgb="FFC00000"/>
        <sz val="10"/>
      </rPr>
      <t>クロユニット</t>
    </r>
    <r>
      <rPr>
        <b val="0"/>
        <i val="0"/>
        <strike val="0"/>
        <color rgb="FF000000"/>
        <sz val="10"/>
      </rPr>
      <t>(黒unit)</t>
    </r>
  </si>
  <si>
    <r>
      <rPr>
        <b val="1"/>
        <i val="0"/>
        <strike val="0"/>
        <color rgb="FF000000"/>
        <sz val="10"/>
      </rPr>
      <t>Non Ishida</t>
    </r>
    <r>
      <rPr>
        <b val="0"/>
        <i val="0"/>
        <strike val="0"/>
        <color rgb="FF000000"/>
        <sz val="10"/>
      </rPr>
      <t>(本题型发明者)+</t>
    </r>
    <r>
      <rPr>
        <b val="1"/>
        <i val="0"/>
        <strike val="0"/>
        <color rgb="FF000000"/>
        <sz val="10"/>
      </rPr>
      <t>diagram</t>
    </r>
  </si>
  <si>
    <r>
      <rPr>
        <b val="1"/>
        <i val="0"/>
        <strike val="0"/>
        <color rgb="FF0070C0"/>
        <sz val="10"/>
      </rPr>
      <t>penta-</t>
    </r>
    <r>
      <rPr>
        <b val="0"/>
        <i val="0"/>
        <strike val="0"/>
        <color rgb="FF000000"/>
        <sz val="10"/>
      </rPr>
      <t>+</t>
    </r>
    <r>
      <rPr>
        <b val="1"/>
        <i val="0"/>
        <strike val="0"/>
        <color rgb="FF0070C0"/>
        <sz val="10"/>
      </rPr>
      <t>touch</t>
    </r>
  </si>
  <si>
    <r>
      <rPr>
        <b val="0"/>
        <i val="0"/>
        <strike val="0"/>
        <color rgb="FF000000"/>
        <sz val="10"/>
      </rPr>
      <t xml:space="preserve">来自 </t>
    </r>
    <r>
      <rPr>
        <b val="1"/>
        <i val="0"/>
        <strike val="0"/>
        <color rgb="FF000000"/>
        <sz val="10"/>
      </rPr>
      <t>Battenberg</t>
    </r>
    <r>
      <rPr>
        <b val="0"/>
        <i val="0"/>
        <strike val="0"/>
        <color rgb="FF000000"/>
        <sz val="10"/>
      </rPr>
      <t xml:space="preserve"> cake(双色蛋糕)</t>
    </r>
  </si>
  <si>
    <r>
      <rPr>
        <b val="1"/>
        <i val="0"/>
        <strike val="0"/>
        <color rgb="FFC00000"/>
        <sz val="10"/>
      </rPr>
      <t>黒</t>
    </r>
    <r>
      <rPr>
        <b val="0"/>
        <i val="0"/>
        <strike val="0"/>
        <color rgb="FF000000"/>
        <sz val="10"/>
      </rPr>
      <t>+</t>
    </r>
    <r>
      <rPr>
        <b val="1"/>
        <i val="0"/>
        <strike val="0"/>
        <color rgb="FF0070C0"/>
        <sz val="10"/>
      </rPr>
      <t>clone</t>
    </r>
  </si>
  <si>
    <r>
      <rPr>
        <b val="0"/>
        <i val="0"/>
        <strike val="0"/>
        <color rgb="FF000000"/>
        <sz val="10"/>
      </rPr>
      <t xml:space="preserve">讹变自 </t>
    </r>
    <r>
      <rPr>
        <b val="1"/>
        <i val="0"/>
        <strike val="0"/>
        <color rgb="FFC00000"/>
        <sz val="10"/>
      </rPr>
      <t>角てるランプ</t>
    </r>
    <r>
      <rPr>
        <b val="0"/>
        <i val="0"/>
        <strike val="0"/>
        <color rgb="FF000000"/>
        <sz val="10"/>
      </rPr>
      <t>(角てるlump)</t>
    </r>
  </si>
  <si>
    <r>
      <rPr>
        <b val="1"/>
        <i val="0"/>
        <strike val="0"/>
        <color rgb="FF0070C0"/>
        <sz val="10"/>
      </rPr>
      <t>pentomino</t>
    </r>
    <r>
      <rPr>
        <b val="0"/>
        <i val="0"/>
        <strike val="0"/>
        <color rgb="FF000000"/>
        <sz val="10"/>
      </rPr>
      <t>+</t>
    </r>
    <r>
      <rPr>
        <b val="1"/>
        <i val="0"/>
        <strike val="0"/>
        <color rgb="FF0070C0"/>
        <sz val="10"/>
      </rPr>
      <t>myopia</t>
    </r>
  </si>
  <si>
    <r>
      <rPr>
        <b val="1"/>
        <i val="0"/>
        <strike val="0"/>
        <color rgb="FFC00000"/>
        <sz val="10"/>
      </rPr>
      <t>戯れ</t>
    </r>
    <r>
      <rPr>
        <b val="0"/>
        <i val="0"/>
        <strike val="0"/>
        <color rgb="FF000000"/>
        <sz val="10"/>
      </rPr>
      <t>(玩耍)+</t>
    </r>
    <r>
      <rPr>
        <b val="1"/>
        <i val="0"/>
        <strike val="0"/>
        <color rgb="FFC00000"/>
        <sz val="10"/>
      </rPr>
      <t>レンガ</t>
    </r>
    <r>
      <rPr>
        <b val="0"/>
        <i val="0"/>
        <strike val="0"/>
        <color rgb="FF000000"/>
        <sz val="10"/>
      </rPr>
      <t>(=煉瓦, 砖)</t>
    </r>
  </si>
  <si>
    <r>
      <rPr>
        <b val="1"/>
        <i val="0"/>
        <strike val="0"/>
        <color rgb="FFAE2E19"/>
        <sz val="10"/>
      </rPr>
      <t>ドッスン</t>
    </r>
    <r>
      <rPr>
        <b val="0"/>
        <i val="0"/>
        <strike val="0"/>
        <color rgb="FF000000"/>
        <sz val="10"/>
      </rPr>
      <t>(=砰!)+</t>
    </r>
    <r>
      <rPr>
        <b val="1"/>
        <i val="0"/>
        <strike val="0"/>
        <color rgb="FFAE2E19"/>
        <sz val="10"/>
      </rPr>
      <t>ふわり</t>
    </r>
    <r>
      <rPr>
        <b val="0"/>
        <i val="0"/>
        <strike val="0"/>
        <color rgb="FF000000"/>
        <sz val="10"/>
      </rPr>
      <t>(=轻飘飘~)</t>
    </r>
  </si>
  <si>
    <r>
      <rPr>
        <b val="0"/>
        <i val="0"/>
        <strike val="0"/>
        <color rgb="FF000000"/>
        <sz val="10"/>
      </rPr>
      <t xml:space="preserve">缩略自 </t>
    </r>
    <r>
      <rPr>
        <b val="1"/>
        <i val="0"/>
        <strike val="0"/>
        <color rgb="FF0070C0"/>
        <sz val="10"/>
      </rPr>
      <t>stone</t>
    </r>
    <r>
      <rPr>
        <b val="0"/>
        <i val="0"/>
        <strike val="0"/>
        <color rgb="FF000000"/>
        <sz val="10"/>
      </rPr>
      <t>+</t>
    </r>
    <r>
      <rPr>
        <b val="1"/>
        <i val="0"/>
        <strike val="0"/>
        <color rgb="FF0070C0"/>
        <sz val="10"/>
      </rPr>
      <t>stone</t>
    </r>
  </si>
  <si>
    <r>
      <rPr>
        <b val="1"/>
        <i val="0"/>
        <strike val="0"/>
        <color rgb="FF0070C0"/>
        <sz val="10"/>
      </rPr>
      <t>evolve</t>
    </r>
    <r>
      <rPr>
        <b val="0"/>
        <i val="0"/>
        <strike val="0"/>
        <color rgb="FF000000"/>
        <sz val="10"/>
      </rPr>
      <t>+</t>
    </r>
    <r>
      <rPr>
        <b val="0"/>
        <i val="0"/>
        <strike val="0"/>
        <color rgb="FF0070C0"/>
        <sz val="10"/>
      </rPr>
      <t>-</t>
    </r>
    <r>
      <rPr>
        <b val="1"/>
        <i val="0"/>
        <strike val="0"/>
        <color rgb="FF0070C0"/>
        <sz val="10"/>
      </rPr>
      <t>omino</t>
    </r>
  </si>
  <si>
    <r>
      <rPr>
        <b val="0"/>
        <i val="0"/>
        <strike val="0"/>
        <color rgb="FF000000"/>
        <sz val="10"/>
      </rPr>
      <t xml:space="preserve">(Turkish) </t>
    </r>
    <r>
      <rPr>
        <b val="1"/>
        <i val="0"/>
        <strike val="0"/>
        <color rgb="FF000000"/>
        <sz val="10"/>
      </rPr>
      <t>tren</t>
    </r>
    <r>
      <rPr>
        <b val="0"/>
        <i val="0"/>
        <strike val="0"/>
        <color rgb="FF000000"/>
        <sz val="10"/>
      </rPr>
      <t xml:space="preserve"> = train</t>
    </r>
  </si>
  <si>
    <r>
      <rPr>
        <b val="1"/>
        <i val="0"/>
        <strike val="0"/>
        <color rgb="FFC00000"/>
        <sz val="10"/>
      </rPr>
      <t>ボサノヴァ</t>
    </r>
    <r>
      <rPr>
        <b val="0"/>
        <i val="0"/>
        <strike val="0"/>
        <color rgb="FF000000"/>
        <sz val="10"/>
      </rPr>
      <t>(Bossa Nova)</t>
    </r>
  </si>
  <si>
    <r>
      <rPr>
        <b val="0"/>
        <i val="0"/>
        <strike val="0"/>
        <color rgb="FF000000"/>
        <sz val="10"/>
      </rPr>
      <t>Gako(</t>
    </r>
    <r>
      <rPr>
        <b val="1"/>
        <i val="0"/>
        <strike val="0"/>
        <color rgb="FFC00000"/>
        <sz val="10"/>
      </rPr>
      <t>ガコ</t>
    </r>
    <r>
      <rPr>
        <b val="0"/>
        <i val="0"/>
        <strike val="0"/>
        <color rgb="FF000000"/>
        <sz val="10"/>
      </rPr>
      <t xml:space="preserve"> &lt; </t>
    </r>
    <r>
      <rPr>
        <b val="1"/>
        <i val="0"/>
        <strike val="0"/>
        <color rgb="FFC00000"/>
        <sz val="10"/>
      </rPr>
      <t>...が...個</t>
    </r>
    <r>
      <rPr>
        <b val="0"/>
        <i val="0"/>
        <strike val="0"/>
        <color rgb="FF000000"/>
        <sz val="10"/>
      </rPr>
      <t>) 的派生</t>
    </r>
  </si>
  <si>
    <r>
      <rPr>
        <b val="0"/>
        <i val="0"/>
        <strike val="0"/>
        <color rgb="FF000000"/>
        <sz val="10"/>
      </rPr>
      <t xml:space="preserve">缩略自 </t>
    </r>
    <r>
      <rPr>
        <b val="1"/>
        <i val="0"/>
        <strike val="0"/>
        <color rgb="FFC00000"/>
        <sz val="10"/>
      </rPr>
      <t>プット</t>
    </r>
    <r>
      <rPr>
        <b val="0"/>
        <i val="0"/>
        <strike val="0"/>
        <color rgb="FF000000"/>
        <sz val="10"/>
      </rPr>
      <t>(put)+</t>
    </r>
    <r>
      <rPr>
        <b val="1"/>
        <i val="0"/>
        <strike val="0"/>
        <color rgb="FFC00000"/>
        <sz val="10"/>
      </rPr>
      <t>エリア</t>
    </r>
    <r>
      <rPr>
        <b val="0"/>
        <i val="0"/>
        <strike val="0"/>
        <color rgb="FF000000"/>
        <sz val="10"/>
      </rPr>
      <t>(area)</t>
    </r>
  </si>
  <si>
    <r>
      <rPr>
        <b val="0"/>
        <i val="0"/>
        <strike val="0"/>
        <color rgb="FF000000"/>
        <sz val="10"/>
      </rPr>
      <t xml:space="preserve">缩略自 </t>
    </r>
    <r>
      <rPr>
        <b val="1"/>
        <i val="0"/>
        <strike val="0"/>
        <color rgb="FFC00000"/>
        <sz val="10"/>
      </rPr>
      <t>数グループ</t>
    </r>
  </si>
  <si>
    <r>
      <rPr>
        <b val="0"/>
        <i val="0"/>
        <strike val="0"/>
        <color rgb="FF000000"/>
        <sz val="10"/>
      </rPr>
      <t xml:space="preserve">缩略自 </t>
    </r>
    <r>
      <rPr>
        <b val="1"/>
        <i val="0"/>
        <strike val="0"/>
        <color rgb="FFC00000"/>
        <sz val="10"/>
      </rPr>
      <t>数字は独身に限る</t>
    </r>
  </si>
  <si>
    <r>
      <rPr>
        <b val="0"/>
        <i val="0"/>
        <strike val="0"/>
        <color rgb="FF000000"/>
        <sz val="10"/>
      </rPr>
      <t xml:space="preserve">(Turkish) </t>
    </r>
    <r>
      <rPr>
        <b val="1"/>
        <i val="0"/>
        <strike val="0"/>
        <color rgb="FF000000"/>
        <sz val="10"/>
      </rPr>
      <t>fuzuli</t>
    </r>
    <r>
      <rPr>
        <b val="0"/>
        <i val="0"/>
        <strike val="0"/>
        <color rgb="FF000000"/>
        <sz val="10"/>
      </rPr>
      <t xml:space="preserve"> = superfluous</t>
    </r>
  </si>
  <si>
    <r>
      <rPr>
        <b val="1"/>
        <i val="0"/>
        <strike val="0"/>
        <color rgb="FF000000"/>
        <sz val="10"/>
      </rPr>
      <t>doppelgänger</t>
    </r>
    <r>
      <rPr>
        <b val="0"/>
        <i val="0"/>
        <strike val="0"/>
        <color rgb="FF000000"/>
        <sz val="10"/>
      </rPr>
      <t>+</t>
    </r>
    <r>
      <rPr>
        <b val="1"/>
        <i val="0"/>
        <strike val="0"/>
        <color rgb="FF0070C0"/>
        <sz val="10"/>
      </rPr>
      <t>block</t>
    </r>
  </si>
  <si>
    <r>
      <rPr>
        <b val="0"/>
        <i val="0"/>
        <strike val="0"/>
        <color rgb="FF000000"/>
        <sz val="10"/>
      </rPr>
      <t xml:space="preserve">缩略自 </t>
    </r>
    <r>
      <rPr>
        <b val="1"/>
        <i val="0"/>
        <strike val="0"/>
        <color rgb="FFC00000"/>
        <sz val="10"/>
      </rPr>
      <t>数字増殖コロニー</t>
    </r>
    <r>
      <rPr>
        <b val="0"/>
        <i val="0"/>
        <strike val="0"/>
        <color rgb="FF000000"/>
        <sz val="10"/>
      </rPr>
      <t>(colony)</t>
    </r>
  </si>
  <si>
    <r>
      <rPr>
        <b val="0"/>
        <i val="0"/>
        <strike val="0"/>
        <color rgb="FF000000"/>
        <sz val="10"/>
      </rPr>
      <t xml:space="preserve">缩略自 </t>
    </r>
    <r>
      <rPr>
        <b val="1"/>
        <i val="0"/>
        <strike val="0"/>
        <color rgb="FFC00000"/>
        <sz val="10"/>
      </rPr>
      <t>碁石ひろい</t>
    </r>
  </si>
  <si>
    <r>
      <rPr>
        <b val="0"/>
        <i val="0"/>
        <strike val="0"/>
        <color rgb="FF000000"/>
        <sz val="10"/>
      </rPr>
      <t xml:space="preserve">缩略自 </t>
    </r>
    <r>
      <rPr>
        <b val="1"/>
        <i val="0"/>
        <strike val="0"/>
        <color rgb="FFC00000"/>
        <sz val="10"/>
      </rPr>
      <t>加算クロス</t>
    </r>
    <r>
      <rPr>
        <b val="0"/>
        <i val="0"/>
        <strike val="0"/>
        <color rgb="FF000000"/>
        <sz val="10"/>
      </rPr>
      <t>(cross)</t>
    </r>
  </si>
  <si>
    <r>
      <rPr>
        <b val="1"/>
        <i val="0"/>
        <strike val="0"/>
        <color rgb="FFC00000"/>
        <sz val="10"/>
      </rPr>
      <t>離れ</t>
    </r>
    <r>
      <rPr>
        <b val="0"/>
        <i val="0"/>
        <strike val="0"/>
        <color rgb="FF000000"/>
        <sz val="10"/>
      </rPr>
      <t>+</t>
    </r>
    <r>
      <rPr>
        <b val="1"/>
        <i val="0"/>
        <strike val="0"/>
        <color rgb="FFC00000"/>
        <sz val="10"/>
      </rPr>
      <t>組</t>
    </r>
  </si>
  <si>
    <r>
      <rPr>
        <b val="0"/>
        <i val="0"/>
        <strike val="0"/>
        <color rgb="FF000000"/>
        <sz val="10"/>
      </rPr>
      <t xml:space="preserve">(Italian/Latin) </t>
    </r>
    <r>
      <rPr>
        <b val="1"/>
        <i val="0"/>
        <strike val="0"/>
        <color rgb="FF000000"/>
        <sz val="10"/>
      </rPr>
      <t>Roma</t>
    </r>
    <r>
      <rPr>
        <b val="0"/>
        <i val="0"/>
        <strike val="0"/>
        <color rgb="FF000000"/>
        <sz val="10"/>
      </rPr>
      <t xml:space="preserve"> = Rome</t>
    </r>
  </si>
  <si>
    <r>
      <rPr>
        <b val="0"/>
        <i val="0"/>
        <strike val="0"/>
        <color rgb="FF000000"/>
        <sz val="10"/>
      </rPr>
      <t xml:space="preserve">缩略自 </t>
    </r>
    <r>
      <rPr>
        <b val="1"/>
        <i val="0"/>
        <strike val="0"/>
        <color rgb="FFC00000"/>
        <sz val="10"/>
      </rPr>
      <t>マックスアロー</t>
    </r>
    <r>
      <rPr>
        <b val="0"/>
        <i val="0"/>
        <strike val="0"/>
        <color rgb="FF000000"/>
        <sz val="10"/>
      </rPr>
      <t>(max arrow)</t>
    </r>
  </si>
  <si>
    <r>
      <rPr>
        <b val="0"/>
        <i val="0"/>
        <strike val="0"/>
        <color rgb="FF000000"/>
        <sz val="10"/>
      </rPr>
      <t>缩略自</t>
    </r>
    <r>
      <rPr>
        <b val="1"/>
        <i val="0"/>
        <strike val="0"/>
        <color rgb="FFC00000"/>
        <sz val="10"/>
      </rPr>
      <t xml:space="preserve"> 見つめあう矢印</t>
    </r>
  </si>
  <si>
    <r>
      <rPr>
        <b val="0"/>
        <i val="0"/>
        <strike val="0"/>
        <color rgb="FF000000"/>
        <sz val="10"/>
      </rPr>
      <t xml:space="preserve">缩略自 </t>
    </r>
    <r>
      <rPr>
        <b val="1"/>
        <i val="0"/>
        <strike val="0"/>
        <color rgb="FFC00000"/>
        <sz val="10"/>
      </rPr>
      <t>ナンバーロード</t>
    </r>
    <r>
      <rPr>
        <b val="0"/>
        <i val="0"/>
        <strike val="0"/>
        <color rgb="FF000000"/>
        <sz val="10"/>
      </rPr>
      <t>(number road)</t>
    </r>
  </si>
  <si>
    <r>
      <rPr>
        <b val="0"/>
        <i val="0"/>
        <strike val="0"/>
        <color rgb="FF000000"/>
        <sz val="10"/>
      </rPr>
      <t>双关</t>
    </r>
    <r>
      <rPr>
        <b val="1"/>
        <i val="0"/>
        <strike val="0"/>
        <color rgb="FF0070C0"/>
        <sz val="10"/>
      </rPr>
      <t>Sum</t>
    </r>
  </si>
  <si>
    <r>
      <rPr>
        <b val="0"/>
        <i val="0"/>
        <strike val="0"/>
        <color rgb="FF000000"/>
        <sz val="10"/>
      </rPr>
      <t xml:space="preserve">(Belarusian) </t>
    </r>
    <r>
      <rPr>
        <b val="1"/>
        <i val="0"/>
        <strike val="0"/>
        <color rgb="FF000000"/>
        <sz val="10"/>
      </rPr>
      <t xml:space="preserve">кропкі </t>
    </r>
    <r>
      <rPr>
        <b val="0"/>
        <i val="0"/>
        <strike val="0"/>
        <color rgb="FF000000"/>
        <sz val="10"/>
      </rPr>
      <t>= dots</t>
    </r>
  </si>
  <si>
    <r>
      <rPr>
        <b val="1"/>
        <i val="0"/>
        <strike val="0"/>
        <color rgb="FFC00000"/>
        <sz val="10"/>
      </rPr>
      <t>蛇いちご</t>
    </r>
    <r>
      <rPr>
        <b val="0"/>
        <i val="0"/>
        <strike val="0"/>
        <color rgb="FF000000"/>
        <sz val="10"/>
      </rPr>
      <t xml:space="preserve">(蛇莓) = </t>
    </r>
    <r>
      <rPr>
        <b val="1"/>
        <i val="0"/>
        <strike val="0"/>
        <color rgb="FFC00000"/>
        <sz val="10"/>
      </rPr>
      <t>蛇一五</t>
    </r>
  </si>
  <si>
    <r>
      <rPr>
        <b val="0"/>
        <i val="0"/>
        <strike val="0"/>
        <color rgb="FF000000"/>
        <sz val="10"/>
      </rPr>
      <t xml:space="preserve">(German) </t>
    </r>
    <r>
      <rPr>
        <b val="1"/>
        <i val="0"/>
        <strike val="0"/>
        <color rgb="FF000000"/>
        <sz val="10"/>
      </rPr>
      <t>U-Bahn</t>
    </r>
    <r>
      <rPr>
        <b val="0"/>
        <i val="0"/>
        <strike val="0"/>
        <color rgb="FF000000"/>
        <sz val="10"/>
      </rPr>
      <t xml:space="preserve"> &lt; </t>
    </r>
    <r>
      <rPr>
        <b val="1"/>
        <i val="0"/>
        <strike val="0"/>
        <color rgb="FF000000"/>
        <sz val="10"/>
      </rPr>
      <t>Untergrundbahn</t>
    </r>
    <r>
      <rPr>
        <b val="0"/>
        <i val="0"/>
        <strike val="0"/>
        <color rgb="FF000000"/>
        <sz val="10"/>
      </rPr>
      <t xml:space="preserve"> = subway</t>
    </r>
  </si>
  <si>
    <r>
      <rPr>
        <b val="1"/>
        <i val="0"/>
        <strike val="0"/>
        <color rgb="FF0070C0"/>
        <sz val="10"/>
      </rPr>
      <t>fill</t>
    </r>
    <r>
      <rPr>
        <b val="0"/>
        <i val="0"/>
        <strike val="0"/>
        <color rgb="FF000000"/>
        <sz val="10"/>
      </rPr>
      <t>+</t>
    </r>
    <r>
      <rPr>
        <b val="1"/>
        <i val="0"/>
        <strike val="0"/>
        <color rgb="FF0070C0"/>
        <sz val="10"/>
      </rPr>
      <t>-omino</t>
    </r>
  </si>
  <si>
    <r>
      <rPr>
        <b val="1"/>
        <i val="0"/>
        <strike val="0"/>
        <color rgb="FF0070C0"/>
        <sz val="10"/>
      </rPr>
      <t>pentomino</t>
    </r>
    <r>
      <rPr>
        <b val="0"/>
        <i val="0"/>
        <strike val="0"/>
        <color rgb="FF000000"/>
        <sz val="10"/>
      </rPr>
      <t>+</t>
    </r>
    <r>
      <rPr>
        <b val="1"/>
        <i val="0"/>
        <strike val="0"/>
        <color rgb="FF0070C0"/>
        <sz val="10"/>
      </rPr>
      <t>-ous</t>
    </r>
  </si>
  <si>
    <r>
      <rPr>
        <b val="1"/>
        <i val="0"/>
        <strike val="0"/>
        <color rgb="FF0070C0"/>
        <sz val="10"/>
      </rPr>
      <t>tetromino</t>
    </r>
    <r>
      <rPr>
        <b val="0"/>
        <i val="0"/>
        <strike val="0"/>
        <color rgb="FF000000"/>
        <sz val="10"/>
      </rPr>
      <t>+</t>
    </r>
    <r>
      <rPr>
        <b val="1"/>
        <i val="0"/>
        <strike val="0"/>
        <color rgb="FF0070C0"/>
        <sz val="10"/>
      </rPr>
      <t>-ous</t>
    </r>
  </si>
  <si>
    <r>
      <rPr>
        <b val="0"/>
        <i val="0"/>
        <strike val="0"/>
        <color rgb="FF000000"/>
        <sz val="10"/>
      </rPr>
      <t xml:space="preserve">缩略自 </t>
    </r>
    <r>
      <rPr>
        <b val="1"/>
        <i val="0"/>
        <strike val="0"/>
        <color rgb="FFC00000"/>
        <sz val="10"/>
      </rPr>
      <t>四角に切れ</t>
    </r>
  </si>
  <si>
    <r>
      <rPr>
        <b val="1"/>
        <i val="0"/>
        <strike val="0"/>
        <color rgb="FF0070C0"/>
        <sz val="10"/>
      </rPr>
      <t>hetero-</t>
    </r>
    <r>
      <rPr>
        <b val="0"/>
        <i val="0"/>
        <strike val="0"/>
        <color rgb="FF000000"/>
        <sz val="10"/>
      </rPr>
      <t>+</t>
    </r>
    <r>
      <rPr>
        <b val="1"/>
        <i val="0"/>
        <strike val="0"/>
        <color rgb="FF0070C0"/>
        <sz val="10"/>
      </rPr>
      <t>-omino</t>
    </r>
  </si>
  <si>
    <r>
      <rPr>
        <b val="1"/>
        <i val="0"/>
        <strike val="0"/>
        <color rgb="FF0070C0"/>
        <sz val="10"/>
      </rPr>
      <t>sub-</t>
    </r>
    <r>
      <rPr>
        <b val="0"/>
        <i val="0"/>
        <strike val="0"/>
        <color rgb="FF000000"/>
        <sz val="10"/>
      </rPr>
      <t>+</t>
    </r>
    <r>
      <rPr>
        <b val="1"/>
        <i val="0"/>
        <strike val="0"/>
        <color rgb="FF0070C0"/>
        <sz val="10"/>
      </rPr>
      <t>-omino</t>
    </r>
  </si>
  <si>
    <r>
      <rPr>
        <b val="1"/>
        <i val="0"/>
        <strike val="0"/>
        <color rgb="FFC00000"/>
        <sz val="10"/>
      </rPr>
      <t>和</t>
    </r>
    <r>
      <rPr>
        <b val="0"/>
        <i val="0"/>
        <strike val="0"/>
        <color rgb="FF000000"/>
        <sz val="10"/>
      </rPr>
      <t>+</t>
    </r>
    <r>
      <rPr>
        <b val="1"/>
        <i val="0"/>
        <strike val="0"/>
        <color rgb="FFC00000"/>
        <sz val="10"/>
      </rPr>
      <t>フスマ</t>
    </r>
    <r>
      <rPr>
        <b val="0"/>
        <i val="0"/>
        <strike val="0"/>
        <color rgb="FF000000"/>
        <sz val="10"/>
      </rPr>
      <t>(=襖, 可滑动的屏风)</t>
    </r>
  </si>
  <si>
    <r>
      <rPr>
        <b val="0"/>
        <i val="0"/>
        <strike val="0"/>
        <color rgb="FF000000"/>
        <sz val="10"/>
      </rPr>
      <t xml:space="preserve">(Turkish) </t>
    </r>
    <r>
      <rPr>
        <b val="1"/>
        <i val="0"/>
        <strike val="0"/>
        <color rgb="FF000000"/>
        <sz val="10"/>
      </rPr>
      <t>araf</t>
    </r>
    <r>
      <rPr>
        <b val="0"/>
        <i val="0"/>
        <strike val="0"/>
        <color rgb="FF000000"/>
        <sz val="10"/>
      </rPr>
      <t xml:space="preserve"> = purgatory</t>
    </r>
  </si>
  <si>
    <r>
      <rPr>
        <b val="0"/>
        <i val="0"/>
        <strike val="0"/>
        <color rgb="FF000000"/>
        <sz val="10"/>
      </rPr>
      <t xml:space="preserve">衍生自 IKOJI &lt; </t>
    </r>
    <r>
      <rPr>
        <b val="1"/>
        <i val="0"/>
        <strike val="0"/>
        <color rgb="FFC00000"/>
        <sz val="10"/>
      </rPr>
      <t>意固地</t>
    </r>
    <r>
      <rPr>
        <b val="0"/>
        <i val="0"/>
        <strike val="0"/>
        <color rgb="FF000000"/>
        <sz val="10"/>
      </rPr>
      <t>(=固执), 模仿NIKOLI</t>
    </r>
  </si>
  <si>
    <r>
      <rPr>
        <b val="0"/>
        <i val="0"/>
        <strike val="0"/>
        <color rgb="FF000000"/>
        <sz val="10"/>
      </rPr>
      <t xml:space="preserve">(Finnish) </t>
    </r>
    <r>
      <rPr>
        <b val="1"/>
        <i val="0"/>
        <strike val="0"/>
        <color rgb="FF000000"/>
        <sz val="10"/>
      </rPr>
      <t>lohko</t>
    </r>
    <r>
      <rPr>
        <b val="0"/>
        <i val="0"/>
        <strike val="0"/>
        <color rgb="FF000000"/>
        <sz val="10"/>
      </rPr>
      <t xml:space="preserve"> = subdivision </t>
    </r>
  </si>
  <si>
    <r>
      <rPr>
        <b val="1"/>
        <i val="0"/>
        <strike val="0"/>
        <color rgb="FFC00000"/>
        <sz val="10"/>
      </rPr>
      <t>畳</t>
    </r>
    <r>
      <rPr>
        <b val="0"/>
        <i val="0"/>
        <strike val="0"/>
        <color rgb="FF000000"/>
        <sz val="10"/>
      </rPr>
      <t>+</t>
    </r>
    <r>
      <rPr>
        <b val="1"/>
        <i val="0"/>
        <strike val="0"/>
        <color rgb="FFC00000"/>
        <sz val="10"/>
      </rPr>
      <t>張り/畳針</t>
    </r>
  </si>
  <si>
    <r>
      <rPr>
        <b val="1"/>
        <i val="0"/>
        <strike val="0"/>
        <color rgb="FF0070C0"/>
        <sz val="10"/>
      </rPr>
      <t>narrow</t>
    </r>
    <r>
      <rPr>
        <b val="0"/>
        <i val="0"/>
        <strike val="0"/>
        <color rgb="FF000000"/>
        <sz val="10"/>
      </rPr>
      <t>+</t>
    </r>
    <r>
      <rPr>
        <b val="1"/>
        <i val="0"/>
        <strike val="0"/>
        <color rgb="FF0070C0"/>
        <sz val="10"/>
      </rPr>
      <t>fence</t>
    </r>
  </si>
  <si>
    <r>
      <rPr>
        <b val="1"/>
        <i val="0"/>
        <strike val="0"/>
        <color rgb="FFC00000"/>
        <sz val="10"/>
      </rPr>
      <t>アホになる</t>
    </r>
    <r>
      <rPr>
        <b val="0"/>
        <i val="0"/>
        <strike val="0"/>
        <color rgb="FF000000"/>
        <sz val="10"/>
      </rPr>
      <t>(漫才梗)+</t>
    </r>
    <r>
      <rPr>
        <b val="1"/>
        <i val="0"/>
        <strike val="0"/>
        <color rgb="FFC00000"/>
        <sz val="10"/>
      </rPr>
      <t>なり切る</t>
    </r>
    <r>
      <rPr>
        <b val="0"/>
        <i val="0"/>
        <strike val="0"/>
        <color rgb="FF000000"/>
        <sz val="10"/>
      </rPr>
      <t>+</t>
    </r>
    <r>
      <rPr>
        <b val="1"/>
        <i val="0"/>
        <strike val="0"/>
        <color rgb="FFC00000"/>
        <sz val="10"/>
      </rPr>
      <t>切る</t>
    </r>
    <r>
      <rPr>
        <b val="0"/>
        <i val="0"/>
        <strike val="0"/>
        <color rgb="FF000000"/>
        <sz val="10"/>
      </rPr>
      <t>(描述规则)</t>
    </r>
  </si>
  <si>
    <r>
      <rPr>
        <b val="1"/>
        <i val="0"/>
        <strike val="0"/>
        <color rgb="FF0070C0"/>
        <sz val="10"/>
      </rPr>
      <t>slither</t>
    </r>
    <r>
      <rPr>
        <b val="0"/>
        <i val="0"/>
        <strike val="0"/>
        <color rgb="FF000000"/>
        <sz val="10"/>
      </rPr>
      <t>+</t>
    </r>
    <r>
      <rPr>
        <b val="1"/>
        <i val="0"/>
        <strike val="0"/>
        <color rgb="FF0070C0"/>
        <sz val="10"/>
      </rPr>
      <t>link</t>
    </r>
  </si>
  <si>
    <r>
      <rPr>
        <b val="1"/>
        <i val="0"/>
        <strike val="0"/>
        <color rgb="FFC00000"/>
        <sz val="10"/>
      </rPr>
      <t>白黒</t>
    </r>
    <r>
      <rPr>
        <b val="0"/>
        <i val="0"/>
        <strike val="0"/>
        <color rgb="FF000000"/>
        <sz val="10"/>
      </rPr>
      <t>+</t>
    </r>
    <r>
      <rPr>
        <b val="1"/>
        <i val="0"/>
        <strike val="0"/>
        <color rgb="FF0070C0"/>
        <sz val="10"/>
      </rPr>
      <t>link</t>
    </r>
  </si>
  <si>
    <r>
      <rPr>
        <b val="1"/>
        <i val="0"/>
        <strike val="0"/>
        <color rgb="FF0070C0"/>
        <sz val="10"/>
      </rPr>
      <t>number</t>
    </r>
    <r>
      <rPr>
        <b val="0"/>
        <i val="0"/>
        <strike val="0"/>
        <color rgb="FF000000"/>
        <sz val="10"/>
      </rPr>
      <t>+</t>
    </r>
    <r>
      <rPr>
        <b val="1"/>
        <i val="0"/>
        <strike val="0"/>
        <color rgb="FF0070C0"/>
        <sz val="10"/>
      </rPr>
      <t>link</t>
    </r>
  </si>
  <si>
    <r>
      <rPr>
        <b val="1"/>
        <i val="0"/>
        <strike val="0"/>
        <color rgb="FF0070C0"/>
        <sz val="10"/>
      </rPr>
      <t>mid-</t>
    </r>
    <r>
      <rPr>
        <b val="0"/>
        <i val="0"/>
        <strike val="0"/>
        <color rgb="FF000000"/>
        <sz val="10"/>
      </rPr>
      <t>+</t>
    </r>
    <r>
      <rPr>
        <b val="1"/>
        <i val="0"/>
        <strike val="0"/>
        <color rgb="FF0070C0"/>
        <sz val="10"/>
      </rPr>
      <t>loop</t>
    </r>
  </si>
  <si>
    <r>
      <rPr>
        <b val="0"/>
        <i val="0"/>
        <strike val="0"/>
        <color rgb="FF000000"/>
        <sz val="10"/>
      </rPr>
      <t xml:space="preserve">(German) </t>
    </r>
    <r>
      <rPr>
        <b val="1"/>
        <i val="0"/>
        <strike val="0"/>
        <color rgb="FF000000"/>
        <sz val="10"/>
      </rPr>
      <t>gerade</t>
    </r>
    <r>
      <rPr>
        <b val="0"/>
        <i val="0"/>
        <strike val="0"/>
        <color rgb="FF000000"/>
        <sz val="10"/>
      </rPr>
      <t>+</t>
    </r>
    <r>
      <rPr>
        <b val="1"/>
        <i val="0"/>
        <strike val="0"/>
        <color rgb="FF000000"/>
        <sz val="10"/>
      </rPr>
      <t xml:space="preserve">Weg </t>
    </r>
    <r>
      <rPr>
        <b val="0"/>
        <i val="0"/>
        <strike val="0"/>
        <color rgb="FF000000"/>
        <sz val="10"/>
      </rPr>
      <t>= straight path</t>
    </r>
  </si>
  <si>
    <r>
      <rPr>
        <b val="1"/>
        <i val="0"/>
        <strike val="0"/>
        <color rgb="FFC00000"/>
        <sz val="10"/>
      </rPr>
      <t>斜め</t>
    </r>
    <r>
      <rPr>
        <b val="0"/>
        <i val="0"/>
        <strike val="0"/>
        <color rgb="FF000000"/>
        <sz val="10"/>
      </rPr>
      <t>+</t>
    </r>
    <r>
      <rPr>
        <b val="1"/>
        <i val="0"/>
        <strike val="0"/>
        <color rgb="FFC00000"/>
        <sz val="10"/>
      </rPr>
      <t>巡り</t>
    </r>
  </si>
  <si>
    <r>
      <rPr>
        <b val="0"/>
        <i val="0"/>
        <strike val="0"/>
        <color rgb="FF000000"/>
        <sz val="10"/>
      </rPr>
      <t xml:space="preserve">缩略自 </t>
    </r>
    <r>
      <rPr>
        <b val="1"/>
        <i val="0"/>
        <strike val="0"/>
        <color rgb="FFC00000"/>
        <sz val="10"/>
      </rPr>
      <t>橋をかけろ</t>
    </r>
  </si>
  <si>
    <r>
      <rPr>
        <b val="1"/>
        <i val="0"/>
        <strike val="0"/>
        <color rgb="FFC00000"/>
        <sz val="10"/>
      </rPr>
      <t>どっち</t>
    </r>
    <r>
      <rPr>
        <b val="0"/>
        <i val="0"/>
        <strike val="0"/>
        <color rgb="FF000000"/>
        <sz val="10"/>
      </rPr>
      <t>(=哪个)+</t>
    </r>
    <r>
      <rPr>
        <b val="1"/>
        <i val="0"/>
        <strike val="0"/>
        <color rgb="FF0070C0"/>
        <sz val="10"/>
      </rPr>
      <t>loop</t>
    </r>
  </si>
  <si>
    <r>
      <rPr>
        <b val="0"/>
        <i val="0"/>
        <strike val="0"/>
        <color rgb="FF000000"/>
        <sz val="10"/>
      </rPr>
      <t xml:space="preserve">缩略自 </t>
    </r>
    <r>
      <rPr>
        <b val="1"/>
        <i val="0"/>
        <strike val="0"/>
        <color rgb="FFC00000"/>
        <sz val="10"/>
      </rPr>
      <t>ぼんさんが屁をこいた</t>
    </r>
    <r>
      <rPr>
        <b val="0"/>
        <i val="0"/>
        <strike val="0"/>
        <color rgb="FF000000"/>
        <sz val="10"/>
      </rPr>
      <t>(=一二三木头人)</t>
    </r>
  </si>
  <si>
    <r>
      <rPr>
        <b val="1"/>
        <i val="0"/>
        <strike val="0"/>
        <color rgb="FF0070C0"/>
        <sz val="10"/>
      </rPr>
      <t>slalom</t>
    </r>
    <r>
      <rPr>
        <b val="0"/>
        <i val="0"/>
        <strike val="0"/>
        <color rgb="FF000000"/>
        <sz val="10"/>
      </rPr>
      <t xml:space="preserve"> &lt; (Norwegian) </t>
    </r>
    <r>
      <rPr>
        <b val="1"/>
        <i val="0"/>
        <strike val="0"/>
        <color rgb="FF000000"/>
        <sz val="10"/>
      </rPr>
      <t>slalåm</t>
    </r>
    <r>
      <rPr>
        <b val="0"/>
        <i val="0"/>
        <strike val="0"/>
        <color rgb="FF000000"/>
        <sz val="10"/>
      </rPr>
      <t xml:space="preserve"> = zigzag skiing</t>
    </r>
  </si>
  <si>
    <r>
      <rPr>
        <b val="1"/>
        <i val="0"/>
        <strike val="0"/>
        <color rgb="FFC00000"/>
        <sz val="10"/>
      </rPr>
      <t>ホタル</t>
    </r>
    <r>
      <rPr>
        <b val="0"/>
        <i val="0"/>
        <strike val="0"/>
        <color rgb="FF000000"/>
        <sz val="10"/>
      </rPr>
      <t>(=萤火虫)+</t>
    </r>
    <r>
      <rPr>
        <b val="1"/>
        <i val="0"/>
        <strike val="0"/>
        <color rgb="FFC00000"/>
        <sz val="10"/>
      </rPr>
      <t>ビーム</t>
    </r>
    <r>
      <rPr>
        <b val="0"/>
        <i val="0"/>
        <strike val="0"/>
        <color rgb="FF000000"/>
        <sz val="10"/>
      </rPr>
      <t>(beam)</t>
    </r>
  </si>
  <si>
    <r>
      <rPr>
        <b val="1"/>
        <i val="0"/>
        <strike val="0"/>
        <color rgb="FFC00000"/>
        <sz val="10"/>
      </rPr>
      <t>どっち</t>
    </r>
    <r>
      <rPr>
        <b val="0"/>
        <i val="0"/>
        <strike val="0"/>
        <color rgb="FF000000"/>
        <sz val="10"/>
      </rPr>
      <t>(=哪个)+</t>
    </r>
    <r>
      <rPr>
        <b val="1"/>
        <i val="0"/>
        <strike val="0"/>
        <color rgb="FFC00000"/>
        <sz val="10"/>
      </rPr>
      <t>どっち</t>
    </r>
    <r>
      <rPr>
        <b val="1"/>
        <i val="0"/>
        <strike val="0"/>
        <color rgb="FF000000"/>
        <sz val="10"/>
      </rPr>
      <t>+</t>
    </r>
    <r>
      <rPr>
        <b val="1"/>
        <i val="0"/>
        <strike val="0"/>
        <color rgb="FF0070C0"/>
        <sz val="10"/>
      </rPr>
      <t>loop</t>
    </r>
  </si>
  <si>
    <r>
      <rPr>
        <b val="0"/>
        <i val="0"/>
        <strike val="0"/>
        <color rgb="FF000000"/>
        <sz val="10"/>
      </rPr>
      <t xml:space="preserve">缩略自 </t>
    </r>
    <r>
      <rPr>
        <b val="1"/>
        <i val="0"/>
        <strike val="0"/>
        <color rgb="FFC00000"/>
        <sz val="10"/>
      </rPr>
      <t>交差は直角に限る</t>
    </r>
    <r>
      <rPr>
        <b val="0"/>
        <i val="0"/>
        <strike val="0"/>
        <color rgb="FF000000"/>
        <sz val="10"/>
      </rPr>
      <t xml:space="preserve"> 双关 </t>
    </r>
    <r>
      <rPr>
        <b val="1"/>
        <i val="0"/>
        <strike val="0"/>
        <color rgb="FFC00000"/>
        <sz val="10"/>
      </rPr>
      <t>交直</t>
    </r>
  </si>
  <si>
    <r>
      <rPr>
        <b val="0"/>
        <i val="0"/>
        <strike val="0"/>
        <color rgb="FF000000"/>
        <sz val="10"/>
      </rPr>
      <t xml:space="preserve">(Hindi) </t>
    </r>
    <r>
      <rPr>
        <b val="1"/>
        <i val="0"/>
        <strike val="0"/>
        <color rgb="FF000000"/>
        <sz val="10"/>
      </rPr>
      <t>भाई बहन</t>
    </r>
    <r>
      <rPr>
        <b val="0"/>
        <i val="0"/>
        <strike val="0"/>
        <color rgb="FF000000"/>
        <sz val="10"/>
      </rPr>
      <t xml:space="preserve"> = siblings</t>
    </r>
  </si>
  <si>
    <r>
      <rPr>
        <b val="1"/>
        <i val="0"/>
        <strike val="0"/>
        <color rgb="FFC00000"/>
        <sz val="10"/>
      </rPr>
      <t>アイスバーン</t>
    </r>
    <r>
      <rPr>
        <b val="0"/>
        <i val="0"/>
        <strike val="0"/>
        <color rgb="FF000000"/>
        <sz val="10"/>
      </rPr>
      <t xml:space="preserve"> &lt; (German) </t>
    </r>
    <r>
      <rPr>
        <b val="1"/>
        <i val="0"/>
        <strike val="0"/>
        <color rgb="FF000000"/>
        <sz val="10"/>
      </rPr>
      <t>Eisbahn</t>
    </r>
    <r>
      <rPr>
        <b val="0"/>
        <i val="0"/>
        <strike val="0"/>
        <color rgb="FF000000"/>
        <sz val="10"/>
      </rPr>
      <t xml:space="preserve"> = 溜冰场</t>
    </r>
  </si>
  <si>
    <r>
      <rPr>
        <b val="1"/>
        <i val="0"/>
        <strike val="0"/>
        <color rgb="FFC00000"/>
        <sz val="10"/>
      </rPr>
      <t>流れる</t>
    </r>
    <r>
      <rPr>
        <b val="0"/>
        <i val="0"/>
        <strike val="0"/>
        <color rgb="FF000000"/>
        <sz val="10"/>
      </rPr>
      <t>(流动)+</t>
    </r>
    <r>
      <rPr>
        <b val="1"/>
        <i val="0"/>
        <strike val="0"/>
        <color rgb="FF0070C0"/>
        <sz val="10"/>
      </rPr>
      <t>loop</t>
    </r>
  </si>
  <si>
    <r>
      <rPr>
        <b val="1"/>
        <i val="0"/>
        <strike val="0"/>
        <color rgb="FFC00000"/>
        <sz val="10"/>
      </rPr>
      <t>減る</t>
    </r>
    <r>
      <rPr>
        <b val="0"/>
        <i val="0"/>
        <strike val="0"/>
        <color rgb="FF000000"/>
        <sz val="10"/>
      </rPr>
      <t>+</t>
    </r>
    <r>
      <rPr>
        <b val="1"/>
        <i val="0"/>
        <strike val="0"/>
        <color rgb="FF0070C0"/>
        <sz val="10"/>
      </rPr>
      <t>golf</t>
    </r>
  </si>
  <si>
    <r>
      <rPr>
        <b val="0"/>
        <i val="0"/>
        <strike val="0"/>
        <color rgb="FF000000"/>
        <sz val="10"/>
      </rPr>
      <t xml:space="preserve">短语 </t>
    </r>
    <r>
      <rPr>
        <b val="1"/>
        <i val="0"/>
        <strike val="0"/>
        <color rgb="FF0070C0"/>
        <sz val="10"/>
      </rPr>
      <t>double back</t>
    </r>
  </si>
  <si>
    <r>
      <rPr>
        <b val="0"/>
        <i val="0"/>
        <strike val="0"/>
        <color rgb="FF000000"/>
        <sz val="10"/>
      </rPr>
      <t xml:space="preserve">(Hindi) </t>
    </r>
    <r>
      <rPr>
        <b val="1"/>
        <i val="0"/>
        <strike val="0"/>
        <color rgb="FF000000"/>
        <sz val="10"/>
      </rPr>
      <t>रस्सी सिलाई</t>
    </r>
    <r>
      <rPr>
        <b val="0"/>
        <i val="0"/>
        <strike val="0"/>
        <color rgb="FF000000"/>
        <sz val="10"/>
      </rPr>
      <t xml:space="preserve"> = rope sewing</t>
    </r>
  </si>
  <si>
    <r>
      <rPr>
        <b val="0"/>
        <i val="0"/>
        <strike val="0"/>
        <color rgb="FF000000"/>
        <sz val="10"/>
      </rPr>
      <t>缩略自</t>
    </r>
    <r>
      <rPr>
        <b val="1"/>
        <i val="0"/>
        <strike val="0"/>
        <color rgb="FFC00000"/>
        <sz val="10"/>
      </rPr>
      <t xml:space="preserve"> コブ</t>
    </r>
    <r>
      <rPr>
        <b val="0"/>
        <i val="0"/>
        <strike val="0"/>
        <color rgb="FF000000"/>
        <sz val="10"/>
      </rPr>
      <t>(=瘤, 鼓包)+</t>
    </r>
    <r>
      <rPr>
        <b val="1"/>
        <i val="0"/>
        <strike val="0"/>
        <color rgb="FFC00000"/>
        <sz val="10"/>
      </rPr>
      <t>リング</t>
    </r>
    <r>
      <rPr>
        <b val="0"/>
        <i val="0"/>
        <strike val="0"/>
        <color rgb="FF000000"/>
        <sz val="10"/>
      </rPr>
      <t>(ring)</t>
    </r>
  </si>
  <si>
    <r>
      <rPr>
        <b val="1"/>
        <i val="0"/>
        <strike val="0"/>
        <color rgb="FF0070C0"/>
        <sz val="10"/>
      </rPr>
      <t>pipe</t>
    </r>
    <r>
      <rPr>
        <b val="0"/>
        <i val="0"/>
        <strike val="0"/>
        <color rgb="FF000000"/>
        <sz val="10"/>
      </rPr>
      <t>+</t>
    </r>
    <r>
      <rPr>
        <b val="1"/>
        <i val="0"/>
        <strike val="0"/>
        <color rgb="FF0070C0"/>
        <sz val="10"/>
      </rPr>
      <t>link</t>
    </r>
  </si>
  <si>
    <r>
      <rPr>
        <b val="1"/>
        <i val="0"/>
        <strike val="0"/>
        <color rgb="FF0070C0"/>
        <sz val="10"/>
      </rPr>
      <t>maximum</t>
    </r>
    <r>
      <rPr>
        <b val="0"/>
        <i val="0"/>
        <strike val="0"/>
        <color rgb="FF000000"/>
        <sz val="10"/>
      </rPr>
      <t>+</t>
    </r>
    <r>
      <rPr>
        <b val="1"/>
        <i val="0"/>
        <strike val="0"/>
        <color rgb="FF0070C0"/>
        <sz val="10"/>
      </rPr>
      <t>loop</t>
    </r>
  </si>
  <si>
    <r>
      <rPr>
        <b val="0"/>
        <i val="0"/>
        <strike val="0"/>
        <color rgb="FF000000"/>
        <sz val="10"/>
      </rPr>
      <t xml:space="preserve">缩略自 </t>
    </r>
    <r>
      <rPr>
        <b val="1"/>
        <i val="0"/>
        <strike val="0"/>
        <color rgb="FFC00000"/>
        <sz val="10"/>
      </rPr>
      <t>矢印</t>
    </r>
    <r>
      <rPr>
        <b val="0"/>
        <i val="0"/>
        <strike val="0"/>
        <color rgb="FF000000"/>
        <sz val="10"/>
      </rPr>
      <t>+</t>
    </r>
    <r>
      <rPr>
        <b val="1"/>
        <i val="0"/>
        <strike val="0"/>
        <color rgb="FFC00000"/>
        <sz val="10"/>
      </rPr>
      <t>リング</t>
    </r>
    <r>
      <rPr>
        <b val="0"/>
        <i val="0"/>
        <strike val="0"/>
        <color rgb="FF000000"/>
        <sz val="10"/>
      </rPr>
      <t>(ring)</t>
    </r>
  </si>
  <si>
    <r>
      <rPr>
        <b val="0"/>
        <i val="0"/>
        <strike val="0"/>
        <color rgb="FF000000"/>
        <sz val="10"/>
      </rPr>
      <t xml:space="preserve">(Hebrew) </t>
    </r>
    <r>
      <rPr>
        <b val="1"/>
        <i val="0"/>
        <strike val="0"/>
        <color rgb="FF000000"/>
        <sz val="10"/>
      </rPr>
      <t>חידאתו</t>
    </r>
    <r>
      <rPr>
        <b val="0"/>
        <i val="0"/>
        <strike val="0"/>
        <color rgb="FF000000"/>
        <sz val="10"/>
      </rPr>
      <t xml:space="preserve"> = his riddle</t>
    </r>
  </si>
  <si>
    <r>
      <rPr>
        <b val="0"/>
        <i val="0"/>
        <strike val="0"/>
        <color rgb="FF000000"/>
        <sz val="10"/>
      </rPr>
      <t xml:space="preserve">(Tamil) </t>
    </r>
    <r>
      <rPr>
        <b val="1"/>
        <i val="0"/>
        <strike val="0"/>
        <color rgb="FF000000"/>
        <sz val="10"/>
      </rPr>
      <t>முக்கோண எண்</t>
    </r>
    <r>
      <rPr>
        <b val="0"/>
        <i val="0"/>
        <strike val="0"/>
        <color rgb="FF000000"/>
        <sz val="10"/>
      </rPr>
      <t xml:space="preserve"> = triangular number</t>
    </r>
  </si>
  <si>
    <r>
      <rPr>
        <b val="1"/>
        <i val="0"/>
        <strike val="0"/>
        <color rgb="FFC00000"/>
        <sz val="10"/>
      </rPr>
      <t>くら</t>
    </r>
    <r>
      <rPr>
        <b val="0"/>
        <i val="0"/>
        <strike val="0"/>
        <color rgb="FF000000"/>
        <sz val="10"/>
      </rPr>
      <t>(=暗)+</t>
    </r>
    <r>
      <rPr>
        <b val="1"/>
        <i val="0"/>
        <strike val="0"/>
        <color rgb="FFC00000"/>
        <sz val="10"/>
      </rPr>
      <t>リング</t>
    </r>
    <r>
      <rPr>
        <b val="0"/>
        <i val="0"/>
        <strike val="0"/>
        <color rgb="FF000000"/>
        <sz val="10"/>
      </rPr>
      <t>(ring)</t>
    </r>
  </si>
  <si>
    <r>
      <rPr>
        <b val="1"/>
        <i val="0"/>
        <strike val="0"/>
        <color rgb="FF0070C0"/>
        <sz val="10"/>
      </rPr>
      <t>ice</t>
    </r>
    <r>
      <rPr>
        <b val="0"/>
        <i val="0"/>
        <strike val="0"/>
        <color rgb="FF000000"/>
        <sz val="10"/>
      </rPr>
      <t>+</t>
    </r>
    <r>
      <rPr>
        <b val="1"/>
        <i val="0"/>
        <strike val="0"/>
        <color rgb="FF0070C0"/>
        <sz val="10"/>
      </rPr>
      <t>slalom</t>
    </r>
    <r>
      <rPr>
        <b val="0"/>
        <i val="0"/>
        <strike val="0"/>
        <color rgb="FF000000"/>
        <sz val="10"/>
      </rPr>
      <t>(见Slalom)</t>
    </r>
  </si>
  <si>
    <r>
      <rPr>
        <rFont val="Helvetica Neue"/>
        <b val="0"/>
        <i val="0"/>
        <strike val="0"/>
        <color rgb="FF175CEB"/>
        <sz val="10"/>
        <u/>
      </rPr>
      <t>https://pzplus.tck.mn/p?heteromino/8/8/j77777e7g7e7a7e7a7a7d7l</t>
    </r>
  </si>
  <si>
    <r>
      <rPr>
        <rFont val="Helvetica Neue"/>
        <b val="0"/>
        <i val="0"/>
        <strike val="0"/>
        <color rgb="FF175CEB"/>
        <sz val="10"/>
        <u/>
      </rPr>
      <t>https://pzplus.tck.mn/p?toichika/6/6/aljii4v7k47vz9</t>
    </r>
  </si>
  <si>
    <r>
      <rPr>
        <rFont val="Helvetica Neue"/>
        <b val="0"/>
        <i val="0"/>
        <strike val="0"/>
        <color rgb="FF175CEB"/>
        <sz val="10"/>
        <u/>
      </rPr>
      <t>https://pzplus.tck.mn/p?martini/10/10/47774uftc6nuf4sss4fs6e09n6c6cti0ec7u3h0i0g0i2j.i3l0m.i0v.i.m0l.i2j0i0g0i.h3</t>
    </r>
  </si>
  <si>
    <r>
      <rPr>
        <rFont val="Helvetica Neue"/>
        <b val="0"/>
        <i val="0"/>
        <strike val="0"/>
        <color rgb="FF175CEB"/>
        <sz val="10"/>
        <u/>
      </rPr>
      <t>https://pzplus.tck.mn/p?box/6/6/7a5f7dbj7d98</t>
    </r>
  </si>
  <si>
    <r>
      <rPr>
        <rFont val="Helvetica Neue"/>
        <b val="0"/>
        <i val="0"/>
        <strike val="0"/>
        <color rgb="FF175CEB"/>
        <sz val="10"/>
        <u/>
      </rPr>
      <t>https://pzplus.tck.mn/p?cave/9/9/g2g2h3p32g2i3l6i3o5i6l5i4g45p5h4g4g</t>
    </r>
  </si>
  <si>
    <r>
      <rPr>
        <rFont val="Helvetica Neue"/>
        <b val="0"/>
        <i val="0"/>
        <strike val="0"/>
        <color rgb="FF175CEB"/>
        <sz val="10"/>
        <u/>
      </rPr>
      <t>https://pzprxs.vercel.app/p?kurarin/10/10/pcg2g8ch8g1o1h8g8j1n1icg8h1q2h4k22l8g22h8k22lcg2q3i8g4h3n3k8g8g3o3h8h482h4p</t>
    </r>
  </si>
  <si>
    <r>
      <rPr>
        <rFont val="Helvetica Neue"/>
        <b val="0"/>
        <i val="0"/>
        <strike val="0"/>
        <color rgb="FF175CEB"/>
        <sz val="10"/>
        <u/>
      </rPr>
      <t>https://pzplus.tck.mn/p?nagare/10/10/d9a4d9d5a7b4a9g5e7e2a5c76c5g6e5g8d6a5d8d3a8d</t>
    </r>
  </si>
  <si>
    <r>
      <rPr>
        <rFont val="Helvetica Neue"/>
        <b val="0"/>
        <i val="0"/>
        <strike val="0"/>
        <color rgb="FF175CEB"/>
        <sz val="10"/>
        <u/>
      </rPr>
      <t>https://pzplus.tck.mn/p?kramma/c/7/7/b026c6aib232il10i</t>
    </r>
  </si>
  <si>
    <r>
      <rPr>
        <rFont val="Helvetica Neue"/>
        <b val="0"/>
        <i val="0"/>
        <strike val="0"/>
        <color rgb="FF175CEB"/>
        <sz val="10"/>
        <u/>
      </rPr>
      <t>https://pzplus.tck.mn/p?goishi/9/9/vvnf5cnbtrnqvrvvg</t>
    </r>
  </si>
  <si>
    <r>
      <rPr>
        <rFont val="Helvetica Neue"/>
        <b val="0"/>
        <i val="0"/>
        <strike val="0"/>
        <color rgb="FF175CEB"/>
        <sz val="10"/>
        <u/>
      </rPr>
      <t>https://pzplus.tck.mn/p?cocktail/10/10/gi94a8khp3i70e0s1oc0vu00vu00ue00uf0044444044234444</t>
    </r>
  </si>
  <si>
    <r>
      <rPr>
        <rFont val="Helvetica Neue"/>
        <b val="0"/>
        <i val="0"/>
        <strike val="0"/>
        <color rgb="FF175CEB"/>
        <sz val="10"/>
        <u/>
      </rPr>
      <t>https://pzplus.tck.mn/p?lookair/10/10/1d3x1g4m0a1b1e3c1h2m2h2</t>
    </r>
  </si>
  <si>
    <r>
      <rPr>
        <rFont val="Helvetica Neue"/>
        <b val="0"/>
        <i val="0"/>
        <strike val="0"/>
        <color rgb="FF175CEB"/>
        <sz val="10"/>
        <u/>
      </rPr>
      <t>https://pzplus.tck.mn/p?guidearrow/8/8/11pepcpehcpdm</t>
    </r>
  </si>
  <si>
    <r>
      <rPr>
        <rFont val="Helvetica Neue"/>
        <b val="0"/>
        <i val="0"/>
        <strike val="0"/>
        <color rgb="FF175CEB"/>
        <sz val="10"/>
        <u/>
      </rPr>
      <t>https://pzplus.tck.mn/p?nothing/10/10/k8iud3nti5uabn7fisn2f2kvdvaasa8v3q8q</t>
    </r>
  </si>
  <si>
    <r>
      <rPr>
        <rFont val="Helvetica Neue"/>
        <b val="0"/>
        <i val="0"/>
        <strike val="0"/>
        <color rgb="FF175CEB"/>
        <sz val="10"/>
        <u/>
      </rPr>
      <t>https://pzplus.tck.mn/p?reflect/10/10/d37h34b520c24i40f26j3915j5f27i35c535b5h23d</t>
    </r>
  </si>
  <si>
    <r>
      <rPr>
        <rFont val="Helvetica Neue"/>
        <b val="0"/>
        <i val="0"/>
        <strike val="0"/>
        <color rgb="FF175CEB"/>
        <sz val="10"/>
        <u/>
      </rPr>
      <t>https://pzplus.tck.mn/p?cbblock/12/12/l7in9bq0v2nlfdl7ajt1m0u0rkbu7v09k7q0ts801rvg6vgv0fe6u</t>
    </r>
  </si>
  <si>
    <r>
      <rPr>
        <rFont val="Helvetica Neue"/>
        <b val="0"/>
        <i val="0"/>
        <strike val="0"/>
        <color rgb="FF175CEB"/>
        <sz val="10"/>
        <u/>
      </rPr>
      <t>https://pzplus.tck.mn/p?nanro/10/10/idcqqhlfaultbq7leae01ss3s03v9g1v9v3g2h1h2h4z2h3h4h2z2h3h3h1z2h2h2h2</t>
    </r>
  </si>
  <si>
    <r>
      <rPr>
        <rFont val="Helvetica Neue"/>
        <b val="0"/>
        <i val="0"/>
        <strike val="0"/>
        <color rgb="FF175CEB"/>
        <sz val="10"/>
        <u/>
      </rPr>
      <t>https://pzplus.tck.mn/p?kinkonkan/8/8/2kiuavl7kik0g9r4qglidp0gaAfDCcDaBhBbCAc12325531</t>
    </r>
  </si>
  <si>
    <r>
      <rPr>
        <rFont val="Helvetica Neue"/>
        <b val="0"/>
        <i val="0"/>
        <strike val="0"/>
        <color rgb="FF175CEB"/>
        <sz val="10"/>
        <u/>
      </rPr>
      <t>https://pzplus.tck.mn/p?dominion/18/10/g-13g-15g-10g5g-12m4zs-11t-11j4l5h5j4l-15j5h5l-13j5t-13zs2m-13g9g-1ag5g4g</t>
    </r>
  </si>
  <si>
    <r>
      <rPr>
        <rFont val="Helvetica Neue"/>
        <b val="0"/>
        <i val="0"/>
        <strike val="0"/>
        <color rgb="FF175CEB"/>
        <sz val="10"/>
        <u/>
      </rPr>
      <t>https://pzplus.tck.mn/p?paintarea/10/10/uvtvujuvnuuvvvtfnrbntvrvvvtvfvutvvvth0a1p2d2h4a2o1g1e2a1e2r</t>
    </r>
  </si>
  <si>
    <r>
      <rPr>
        <rFont val="Helvetica Neue"/>
        <b val="0"/>
        <i val="0"/>
        <strike val="0"/>
        <color rgb="FF175CEB"/>
        <sz val="10"/>
        <u/>
      </rPr>
      <t>https://pzplus.tck.mn/p?icelom/a/10/10/ped51ivn5vc9e75pnc78sdgchbhet1jfg-10q3hag5i4g2j7g6q8h9q/23/34</t>
    </r>
  </si>
  <si>
    <r>
      <rPr>
        <rFont val="Helvetica Neue"/>
        <b val="0"/>
        <i val="0"/>
        <strike val="0"/>
        <color rgb="FF175CEB"/>
        <sz val="10"/>
        <u/>
      </rPr>
      <t>https://pzplus.tck.mn/p?dotchi/10/10/10204080g10204080gvv000000vv000000vv5443367111577333421144563341114750</t>
    </r>
  </si>
  <si>
    <r>
      <rPr>
        <rFont val="Helvetica Neue"/>
        <b val="0"/>
        <i val="0"/>
        <strike val="0"/>
        <color rgb="FF175CEB"/>
        <sz val="10"/>
        <u/>
      </rPr>
      <t>https://pzplus.tck.mn/p?symmarea/10/10/5o2g3mag5g8lah7g7j5g7h2g1hag5h6g6j2g6halbg1g2m5g1o3</t>
    </r>
  </si>
  <si>
    <r>
      <rPr>
        <rFont val="Helvetica Neue"/>
        <b val="0"/>
        <i val="0"/>
        <strike val="0"/>
        <color rgb="FF175CEB"/>
        <sz val="10"/>
        <u/>
      </rPr>
      <t>https://pzplus.tck.mn/p?simplegako/5/5/h314k1j3j6j</t>
    </r>
  </si>
  <si>
    <r>
      <rPr>
        <rFont val="Helvetica Neue"/>
        <b val="0"/>
        <i val="0"/>
        <strike val="0"/>
        <color rgb="FF175CEB"/>
        <sz val="10"/>
        <u/>
      </rPr>
      <t>https://pzplus.tck.mn/p?statuepark/12/12/j00696231l9i00006639i906000i31a0i660103f30f0001i//p</t>
    </r>
  </si>
  <si>
    <r>
      <rPr>
        <rFont val="Helvetica Neue"/>
        <b val="0"/>
        <i val="0"/>
        <strike val="0"/>
        <color rgb="FF175CEB"/>
        <sz val="10"/>
        <u/>
      </rPr>
      <t>https://pzplus.tck.mn/p?tetrochain/8/8/c44d11l33c12l11c12l33d41c</t>
    </r>
  </si>
  <si>
    <r>
      <rPr>
        <rFont val="Helvetica Neue"/>
        <b val="0"/>
        <i val="0"/>
        <strike val="0"/>
        <color rgb="FF175CEB"/>
        <sz val="10"/>
        <u/>
      </rPr>
      <t>https://pzplus.tck.mn/p?yajikazu/10/10/a23f34e422442d432343l412241a11c32j32c12a432143l411441d422142e12f14a</t>
    </r>
  </si>
  <si>
    <r>
      <rPr>
        <rFont val="Helvetica Neue"/>
        <b val="0"/>
        <i val="0"/>
        <strike val="0"/>
        <color rgb="FF175CEB"/>
        <sz val="10"/>
        <u/>
      </rPr>
      <t>https://pzplus.tck.mn/p?maxi/8/8/i4r6h08ndg600o07dvr60pjg336g572g2</t>
    </r>
  </si>
  <si>
    <r>
      <rPr>
        <rFont val="Helvetica Neue"/>
        <b val="0"/>
        <i val="0"/>
        <strike val="0"/>
        <color rgb="FF175CEB"/>
        <sz val="10"/>
        <u/>
      </rPr>
      <t>https://pzplus.tck.mn/p?geradeweg/10/10/k4i2g123zh2m2i2h2i1m3zh234g3i1k</t>
    </r>
  </si>
  <si>
    <r>
      <rPr>
        <rFont val="Helvetica Neue"/>
        <b val="0"/>
        <i val="0"/>
        <strike val="0"/>
        <color rgb="FF175CEB"/>
        <sz val="10"/>
        <u/>
      </rPr>
      <t>https://pzplus.tck.mn/p?slashpack/9/9/g2g2h2h1l2k2t3h3j3t3h1h1i3h1h1j</t>
    </r>
  </si>
  <si>
    <r>
      <rPr>
        <rFont val="Helvetica Neue"/>
        <b val="0"/>
        <i val="0"/>
        <strike val="0"/>
        <color rgb="FF175CEB"/>
        <sz val="10"/>
        <u/>
      </rPr>
      <t>https://pzplus.tck.mn/p?easyasabc/6/6/4/h23l441h1g3g34i</t>
    </r>
  </si>
  <si>
    <r>
      <rPr>
        <rFont val="Helvetica Neue"/>
        <b val="0"/>
        <i val="0"/>
        <strike val="0"/>
        <color rgb="FF175CEB"/>
        <sz val="10"/>
        <u/>
      </rPr>
      <t>https://pzplus.tck.mn/p?kuroclone/10/10/0060hqm5a1850c6b00102qtl046k181gm48rp46z36o25a44v35o</t>
    </r>
  </si>
  <si>
    <r>
      <rPr>
        <rFont val="Helvetica Neue"/>
        <b val="0"/>
        <i val="0"/>
        <strike val="0"/>
        <color rgb="FF175CEB"/>
        <sz val="10"/>
        <u/>
      </rPr>
      <t>https://pzplus.tck.mn/p?shakashaka/10/10/iddzjbdzjddzjbcg</t>
    </r>
  </si>
  <si>
    <r>
      <rPr>
        <rFont val="Helvetica Neue"/>
        <b val="0"/>
        <i val="0"/>
        <strike val="0"/>
        <color rgb="FF175CEB"/>
        <sz val="10"/>
        <u/>
      </rPr>
      <t>https://pzplus.tck.mn/p?nurimisaki/9/9/i4i2zg2o4i4p3j2v3j</t>
    </r>
  </si>
  <si>
    <r>
      <rPr>
        <rFont val="Helvetica Neue"/>
        <b val="0"/>
        <i val="0"/>
        <strike val="0"/>
        <color rgb="FF175CEB"/>
        <sz val="10"/>
        <u/>
      </rPr>
      <t>https://pzplus.tck.mn/p?curvedata/11/7/zm=l0164=5322l=zm/2/3/8b1/2/3/9b1/2/3/391/3/4/7e1261/3/4/288f01/2/2/b0/2/3/320</t>
    </r>
  </si>
  <si>
    <r>
      <rPr>
        <rFont val="Helvetica Neue"/>
        <b val="0"/>
        <i val="0"/>
        <strike val="0"/>
        <color rgb="FF175CEB"/>
        <sz val="10"/>
        <u/>
      </rPr>
      <t>https://pzplus.tck.mn/p?yosenabe/10/10/s8belfmhius0mklkmm1nl4m4mi4n4i81iaw5t3zi4j1j5o4s33j2p</t>
    </r>
  </si>
  <si>
    <r>
      <rPr>
        <rFont val="Helvetica Neue"/>
        <b val="0"/>
        <i val="0"/>
        <strike val="0"/>
        <color rgb="FF175CEB"/>
        <sz val="10"/>
        <u/>
      </rPr>
      <t>https://pzplus.tck.mn/p?wafusuma/6/6/g.g.h.g.h.g.h.g.h.g.h.g.m4.....l...5.5l</t>
    </r>
  </si>
  <si>
    <r>
      <rPr>
        <rFont val="Helvetica Neue"/>
        <b val="0"/>
        <i val="0"/>
        <strike val="0"/>
        <color rgb="FF175CEB"/>
        <sz val="10"/>
        <u/>
      </rPr>
      <t>https://pzplus.tck.mn/p?kropki/5/5/f0956043065309</t>
    </r>
  </si>
  <si>
    <r>
      <rPr>
        <rFont val="Helvetica Neue"/>
        <b val="0"/>
        <i val="0"/>
        <strike val="0"/>
        <color rgb="FF175CEB"/>
        <sz val="10"/>
        <u/>
      </rPr>
      <t>https://pzplus.tck.mn/p?evolmino/10/10/q907l02pi660010000000000000000i620r00a005x00z39394435343zl06b17zcj9a4</t>
    </r>
  </si>
  <si>
    <r>
      <rPr>
        <rFont val="Helvetica Neue"/>
        <b val="0"/>
        <i val="0"/>
        <strike val="0"/>
        <color rgb="FF175CEB"/>
        <sz val="10"/>
        <u/>
      </rPr>
      <t>https://pzplus.tck.mn/p?nuribou/9/9/p.g5g.g.q.k6w-11q.g.g.g.p</t>
    </r>
  </si>
  <si>
    <r>
      <rPr>
        <rFont val="Helvetica Neue"/>
        <b val="0"/>
        <i val="0"/>
        <strike val="0"/>
        <color rgb="FF175CEB"/>
        <sz val="10"/>
        <u/>
      </rPr>
      <t>https://pzplus.tck.mn/p?ayeheya/10/10/8gh12284g9112244407go07v0000vv0000vvg24i6h4h</t>
    </r>
  </si>
  <si>
    <r>
      <rPr>
        <rFont val="Helvetica Neue"/>
        <b val="0"/>
        <i val="0"/>
        <strike val="0"/>
        <color rgb="FF175CEB"/>
        <sz val="10"/>
        <u/>
      </rPr>
      <t>https://pzplus.tck.mn/p?ringring/12/12/30ef0a2y4437v0</t>
    </r>
  </si>
  <si>
    <r>
      <rPr>
        <rFont val="Helvetica Neue"/>
        <b val="0"/>
        <i val="0"/>
        <strike val="0"/>
        <color rgb="FF175CEB"/>
        <sz val="10"/>
        <u/>
      </rPr>
      <t>https://pzplus.tck.mn/p?myopia/8/8/2ialci3ai6jci9j3i9j5icbial3i5</t>
    </r>
  </si>
  <si>
    <r>
      <rPr>
        <b val="0"/>
        <i val="0"/>
        <strike val="0"/>
        <color rgb="FF175CEB"/>
        <sz val="10"/>
        <u/>
      </rPr>
      <t>https://pzplus.tck.mn/p?pentominous/10/10/zzzzzg4000000000000001q01g0g00100g001g0g1</t>
    </r>
  </si>
  <si>
    <r>
      <rPr>
        <rFont val="Helvetica Neue"/>
        <b val="0"/>
        <i val="0"/>
        <strike val="0"/>
        <color rgb="FF175CEB"/>
        <sz val="10"/>
        <u/>
      </rPr>
      <t>https://pzplus.tck.mn/p?kakuro/6/6/lf--5o68l6go5bnh-m-co-gl4BC6367c</t>
    </r>
  </si>
  <si>
    <r>
      <rPr>
        <rFont val="Helvetica Neue"/>
        <b val="0"/>
        <i val="0"/>
        <strike val="0"/>
        <color rgb="FF175CEB"/>
        <sz val="10"/>
        <u/>
      </rPr>
      <t>https://pzplus.tck.mn/p?tents/10/10/h1j2rzi20201a262393010b92</t>
    </r>
  </si>
  <si>
    <r>
      <rPr>
        <rFont val="Helvetica Neue"/>
        <b val="0"/>
        <i val="0"/>
        <strike val="0"/>
        <color rgb="FF175CEB"/>
        <sz val="10"/>
        <u/>
      </rPr>
      <t>https://pzplus.tck.mn/p?tasquare/10/10/1h2q3l5v4l6j.r8o9i..g.o.i.j</t>
    </r>
  </si>
  <si>
    <r>
      <rPr>
        <b val="0"/>
        <i val="0"/>
        <strike val="0"/>
        <color rgb="FF175CEB"/>
        <sz val="10"/>
        <u/>
      </rPr>
      <t>https://pzplus.tck.mn/p?aqre/10/10/l9ail5ib4m9d2qllba0007fo07ho1vcf000016146145552262316</t>
    </r>
  </si>
  <si>
    <r>
      <rPr>
        <rFont val="Helvetica Neue"/>
        <b val="0"/>
        <i val="0"/>
        <strike val="0"/>
        <color rgb="FF175CEB"/>
        <sz val="10"/>
        <u/>
      </rPr>
      <t>https://pzplus.tck.mn/p?doubleback/10/10/04otgr24c8jkjp35407qo447rgofvu60hr3s</t>
    </r>
  </si>
  <si>
    <r>
      <rPr>
        <rFont val="Helvetica Neue"/>
        <b val="0"/>
        <i val="0"/>
        <strike val="0"/>
        <color rgb="FF175CEB"/>
        <sz val="10"/>
        <u/>
      </rPr>
      <t>https://pzplus.tck.mn/p?tapaloop/10/10/sajmajtajhajjajvajkajkajgajvajjajh</t>
    </r>
  </si>
  <si>
    <r>
      <rPr>
        <rFont val="Helvetica Neue"/>
        <b val="0"/>
        <i val="0"/>
        <strike val="0"/>
        <color rgb="FF175CEB"/>
        <sz val="10"/>
        <u/>
      </rPr>
      <t>https://pzplus.tck.mn/p?squarejam/10/10/r1zp1i1zl1h1zh</t>
    </r>
  </si>
  <si>
    <r>
      <rPr>
        <b val="0"/>
        <i val="0"/>
        <strike val="0"/>
        <color rgb="FF175CEB"/>
        <sz val="10"/>
        <u/>
      </rPr>
      <t>https://pzplus.tck.mn/p?sukoro/8/8/c3k2c2a3g2d2b4e1c22b3232i</t>
    </r>
  </si>
  <si>
    <r>
      <rPr>
        <rFont val="Helvetica Neue"/>
        <b val="0"/>
        <i val="0"/>
        <strike val="0"/>
        <color rgb="FF175CEB"/>
        <sz val="10"/>
        <u/>
      </rPr>
      <t>https://pzplus.tck.mn/p?mines/8/8/g43g2h2i5k6i6g3g5g4n1g3g2g3i4k2i2h3g12g</t>
    </r>
  </si>
  <si>
    <r>
      <rPr>
        <rFont val="Helvetica Neue"/>
        <b val="0"/>
        <i val="0"/>
        <strike val="0"/>
        <color rgb="FF175CEB"/>
        <sz val="10"/>
        <u/>
      </rPr>
      <t>https://pzplus.tck.mn/p?mochikoro/10/10/j6m2i2q2h2v3h1v2h1q3i1m4j</t>
    </r>
  </si>
  <si>
    <r>
      <rPr>
        <rFont val="Helvetica Neue"/>
        <b val="0"/>
        <i val="0"/>
        <strike val="0"/>
        <color rgb="FF175CEB"/>
        <sz val="10"/>
        <u/>
      </rPr>
      <t>https://pzplus.tck.mn/p?aquapelago/11/11/3zo3t4zo4t5zo5</t>
    </r>
  </si>
  <si>
    <r>
      <rPr>
        <b val="0"/>
        <i val="0"/>
        <strike val="0"/>
        <color rgb="FF175CEB"/>
        <sz val="10"/>
        <u/>
      </rPr>
      <t>https://pzplus.tck.mn/p?yajilin-regions/10/10/182h92i4k98ig4080g00vo077o0000vv00v03g331121h51</t>
    </r>
  </si>
  <si>
    <r>
      <rPr>
        <rFont val="Helvetica Neue"/>
        <b val="0"/>
        <i val="0"/>
        <strike val="0"/>
        <color rgb="FF175CEB"/>
        <sz val="10"/>
        <u/>
      </rPr>
      <t>https://pzplus.tck.mn/p?firefly/10/10/2.b33b2.b3.b43b33b31e42b4.h1.b33h2.b4.h12b1.h32b1.e41b2.b2.b41b11b31b1./</t>
    </r>
  </si>
  <si>
    <r>
      <rPr>
        <rFont val="Helvetica Neue"/>
        <b val="0"/>
        <i val="0"/>
        <strike val="0"/>
        <color rgb="FF175CEB"/>
        <sz val="10"/>
        <u/>
      </rPr>
      <t>https://pzplus.tck.mn/p?tentaisho/10/10/g8ehejelezw64etceziegezekezzgejezgeuet66eke</t>
    </r>
  </si>
  <si>
    <r>
      <rPr>
        <rFont val="Helvetica Neue"/>
        <b val="0"/>
        <i val="0"/>
        <strike val="0"/>
        <color rgb="FF175CEB"/>
        <sz val="10"/>
        <u/>
      </rPr>
      <t>https://pzplus.tck.mn/p?bosanowa/6/8/ppub0l2rtszg86n34u</t>
    </r>
  </si>
  <si>
    <r>
      <rPr>
        <b val="0"/>
        <i val="0"/>
        <strike val="0"/>
        <color rgb="FF175CEB"/>
        <sz val="10"/>
        <u/>
      </rPr>
      <t>https://pzplus.tck.mn/p?kurotto/10/10/j3g1j2g.i3g15i3p4j.g3i4g3h2g2i3g3j2p1i13g.i1g4j6g5j</t>
    </r>
  </si>
  <si>
    <r>
      <rPr>
        <b val="0"/>
        <i val="0"/>
        <strike val="0"/>
        <color rgb="FF175CEB"/>
        <sz val="10"/>
        <u/>
      </rPr>
      <t>https://pzplus.tck.mn/p?scrin/9/9/g2m1h4p3j3zi6j3p3h2m1g</t>
    </r>
  </si>
  <si>
    <r>
      <rPr>
        <b val="0"/>
        <i val="0"/>
        <strike val="0"/>
        <color rgb="FF175CEB"/>
        <sz val="10"/>
        <u/>
      </rPr>
      <t>https://pzplus.tck.mn/p?parquet/12/12/802223252362171174236520602863652362771174236520626223652362171174147411056323080280636363717111636563222620652363117171656365602280036303660000</t>
    </r>
  </si>
  <si>
    <r>
      <rPr>
        <b val="0"/>
        <i val="0"/>
        <strike val="0"/>
        <color rgb="FF175CEB"/>
        <sz val="10"/>
        <u/>
      </rPr>
      <t>https://pzplus.tck.mn/p?barns/12/10/0031ssp7jou00f3psj77go000400000g00000000002000004000000g000040000000</t>
    </r>
  </si>
  <si>
    <r>
      <rPr>
        <rFont val="Helvetica Neue"/>
        <b val="0"/>
        <i val="0"/>
        <strike val="0"/>
        <color rgb="FF175CEB"/>
        <sz val="10"/>
        <u/>
      </rPr>
      <t>https://pzplus.tck.mn/p?slither/10/10/h1bl5ck702032cbjcch1b3bhddjd201126dk8bl3c</t>
    </r>
  </si>
  <si>
    <r>
      <rPr>
        <b val="0"/>
        <i val="0"/>
        <strike val="0"/>
        <color rgb="FF175CEB"/>
        <sz val="10"/>
        <u/>
      </rPr>
      <t>https://pzplus.tck.mn/p?fillomino/9/9/6538h14m22k2l2i2l2l2i2l2k61m53h3824</t>
    </r>
  </si>
  <si>
    <r>
      <rPr>
        <rFont val="Helvetica Neue"/>
        <b val="0"/>
        <i val="0"/>
        <strike val="0"/>
        <color rgb="FF175CEB"/>
        <sz val="10"/>
        <u/>
      </rPr>
      <t>https://pzplus.tck.mn/p?doppelblock/6/6/555555555555u4j2u</t>
    </r>
  </si>
  <si>
    <r>
      <rPr>
        <rFont val="Helvetica Neue"/>
        <b val="0"/>
        <i val="0"/>
        <strike val="0"/>
        <color rgb="FF175CEB"/>
        <sz val="10"/>
        <u/>
      </rPr>
      <t>https://pzplus.tck.mn/p?akari/10/11/uakckchdkbkchck.mchckckcs</t>
    </r>
  </si>
  <si>
    <r>
      <rPr>
        <b val="0"/>
        <i val="0"/>
        <strike val="0"/>
        <color rgb="FF175CEB"/>
        <sz val="10"/>
        <u/>
      </rPr>
      <t>https://pzplus.tck.mn/p?aquarium/8/8/cclqmmmlqj30bpt8emn1bpt0/3g3553g3442h244</t>
    </r>
  </si>
  <si>
    <r>
      <rPr>
        <rFont val="Helvetica Neue"/>
        <b val="0"/>
        <i val="0"/>
        <strike val="0"/>
        <color rgb="FF175CEB"/>
        <sz val="10"/>
        <u/>
      </rPr>
      <t>https://pzplus.tck.mn/p?lits/10/10/4il9aj59mlan98jaic62ps23eoi6eb0gr64h</t>
    </r>
  </si>
  <si>
    <r>
      <rPr>
        <b val="0"/>
        <i val="0"/>
        <strike val="0"/>
        <color rgb="FF175CEB"/>
        <sz val="10"/>
        <u/>
      </rPr>
      <t>https://pzplus.tck.mn/p?detour/8/8/31cioghkj8c02gh43vs28gk07a255g3g</t>
    </r>
  </si>
  <si>
    <r>
      <rPr>
        <b val="0"/>
        <i val="0"/>
        <strike val="0"/>
        <color rgb="FF175CEB"/>
        <sz val="10"/>
        <u/>
      </rPr>
      <t>https://pzplus.tck.mn/p?hashi/9/9/2h4g3h3j2h2g3g1k2i1g2g3g4g3g4g4g5g3g2g2i2k1g2g3h1j3h3g4h2</t>
    </r>
  </si>
  <si>
    <r>
      <rPr>
        <rFont val="Helvetica Neue"/>
        <b val="0"/>
        <i val="0"/>
        <strike val="0"/>
        <color rgb="FF175CEB"/>
        <sz val="10"/>
        <u/>
      </rPr>
      <t>https://pzplus.tck.mn/p?shikaku/10/10/s4h9j8l8k7k6l4jal4k8k8l8jch4s</t>
    </r>
  </si>
  <si>
    <r>
      <rPr>
        <rFont val="Helvetica Neue"/>
        <b val="0"/>
        <i val="0"/>
        <strike val="0"/>
        <color rgb="FF175CEB"/>
        <sz val="10"/>
        <u/>
      </rPr>
      <t>https://pzplus.tck.mn/p?cojun/8/8/6dfmrfalaqmgdgta9opuer00k2h4s3k3l3k1s3h2k</t>
    </r>
  </si>
  <si>
    <r>
      <rPr>
        <b val="0"/>
        <i val="0"/>
        <strike val="0"/>
        <color rgb="FF175CEB"/>
        <sz val="10"/>
        <u/>
      </rPr>
      <t>https://pzplus.tck.mn/p?dosufuwa/10/10/289a8q8afua2b2ai28vnvtfvfn7stuvunvtvth4h</t>
    </r>
  </si>
  <si>
    <r>
      <rPr>
        <b val="0"/>
        <i val="0"/>
        <strike val="0"/>
        <color rgb="FF175CEB"/>
        <sz val="10"/>
        <u/>
      </rPr>
      <t>https://pzplus.tck.mn/p?hinge/10/10/24kp9uidaql5b57jea641p820f0060fn2r1o554414154g1g32</t>
    </r>
  </si>
  <si>
    <r>
      <rPr>
        <b val="0"/>
        <i val="0"/>
        <strike val="0"/>
        <color rgb="FF175CEB"/>
        <sz val="10"/>
        <u/>
      </rPr>
      <t>https://pzplus.tck.mn/p?usoone/10/10/4k98ig80g4g90i10200000vv00vv0000vv00gdiag80dqcgchdjdhco34c0djdhccjccgcg</t>
    </r>
  </si>
  <si>
    <r>
      <rPr>
        <b val="0"/>
        <i val="0"/>
        <strike val="0"/>
        <color rgb="FF175CEB"/>
        <sz val="10"/>
        <u/>
      </rPr>
      <t>https://pzplus.tck.mn/p?walllogic/8/8/i5k4j4k2k7j45j4k5k5j3k4i</t>
    </r>
  </si>
  <si>
    <r>
      <rPr>
        <rFont val="Helvetica Neue"/>
        <b val="0"/>
        <i val="0"/>
        <strike val="0"/>
        <color rgb="FF175CEB"/>
        <sz val="10"/>
        <u/>
      </rPr>
      <t>https://pzplus.tck.mn/p?midloop/10/10/zz3fzg3flffhfkfzmfxft99fwfs7fhdfzfzzm</t>
    </r>
  </si>
  <si>
    <r>
      <rPr>
        <b val="0"/>
        <i val="0"/>
        <strike val="0"/>
        <color rgb="FF175CEB"/>
        <sz val="10"/>
        <u/>
      </rPr>
      <t>https://pzplus.tck.mn/p?araf/8/8/2g3g6g3h2g4g2g54g3g6g3h2g3g4g32g2g4g5h4g5g2g77g5g2g4h5g2g7g5</t>
    </r>
  </si>
  <si>
    <r>
      <rPr>
        <b val="0"/>
        <i val="0"/>
        <strike val="0"/>
        <color rgb="FF175CEB"/>
        <sz val="10"/>
        <u/>
      </rPr>
      <t>https://pzplus.tck.mn/p?tateyoko/10/10/n2i2x4i42npn2nxi23n2nqi21non3pn1i3q1i52pi3pxn2nxn2i21n1x3i4pn3qi221pn1i31pi3qn2n2i3xi22n</t>
    </r>
  </si>
  <si>
    <r>
      <rPr>
        <b val="0"/>
        <i val="0"/>
        <strike val="0"/>
        <color rgb="FF175CEB"/>
        <sz val="10"/>
        <u/>
      </rPr>
      <t>https://pzplus.tck.mn/p?stostone/8/8/000c63hutm8g03vj0vgco260cj236h</t>
    </r>
  </si>
  <si>
    <r>
      <rPr>
        <b val="0"/>
        <i val="0"/>
        <strike val="0"/>
        <color rgb="FF175CEB"/>
        <sz val="10"/>
        <u/>
      </rPr>
      <t>https://pzplus.tck.mn/p?cbanana/10/10/n7h34n56i5zo34n56zi7n</t>
    </r>
  </si>
  <si>
    <r>
      <rPr>
        <rFont val="Helvetica Neue"/>
        <b val="0"/>
        <i val="0"/>
        <strike val="0"/>
        <color rgb="FF175CEB"/>
        <sz val="10"/>
        <u/>
      </rPr>
      <t>https://pzplus.tck.mn/p?creek/10/10/kbj3cn632dudidhci7bdidu328cgelblb</t>
    </r>
  </si>
  <si>
    <r>
      <rPr>
        <b val="0"/>
        <i val="0"/>
        <strike val="0"/>
        <color rgb="FF175CEB"/>
        <sz val="10"/>
        <u/>
      </rPr>
      <t>https://pzplus.tck.mn/p?country/10/10/akl91973e7bshlsl9a007uvi2cti8ph6fp0062g47h443h6g54g33</t>
    </r>
  </si>
  <si>
    <r>
      <rPr>
        <b val="0"/>
        <i val="0"/>
        <strike val="0"/>
        <color rgb="FF175CEB"/>
        <sz val="10"/>
        <u/>
      </rPr>
      <t>https://pzplus.tck.mn/p?angleloop/9/9/0a4c6a2bc1a90a0c1b0b93a0b1b0a90a1ca2a6c4a0</t>
    </r>
  </si>
  <si>
    <r>
      <rPr>
        <b val="0"/>
        <i val="0"/>
        <strike val="0"/>
        <color rgb="FF175CEB"/>
        <sz val="10"/>
        <u/>
      </rPr>
      <t>https://pzplus.tck.mn/p?sashigane/8/8/qhl5u9nijphhn7u3ljq</t>
    </r>
  </si>
  <si>
    <r>
      <rPr>
        <b val="0"/>
        <i val="0"/>
        <strike val="0"/>
        <color rgb="FF175CEB"/>
        <sz val="10"/>
        <u/>
      </rPr>
      <t>https://pzplus.tck.mn/p?makaro/8/8/5evelrlbnungu9vdetdurdh0oejejck2idjbi2kbjejbo</t>
    </r>
  </si>
  <si>
    <r>
      <rPr>
        <b val="0"/>
        <i val="0"/>
        <strike val="0"/>
        <color rgb="FF175CEB"/>
        <sz val="10"/>
        <u/>
      </rPr>
      <t>https://pzplus.tck.mn/p?creek/10/10/icm22167cg87do7dg8ckcg77cg38ck8166dibh77c88cp</t>
    </r>
  </si>
  <si>
    <r>
      <rPr>
        <b val="0"/>
        <i val="0"/>
        <strike val="0"/>
        <color rgb="FF175CEB"/>
        <sz val="10"/>
        <u/>
      </rPr>
      <t>https://puzz.link/p?simpleloop/v:/10/10/000064040000005k0000</t>
    </r>
  </si>
  <si>
    <r>
      <rPr>
        <b val="0"/>
        <i val="0"/>
        <strike val="0"/>
        <color rgb="FF175CEB"/>
        <sz val="10"/>
        <u/>
      </rPr>
      <t>https://pzplus.tck.mn/p?castle/10/10/f00.g231g141d141b022d042g241d212b112d141g042d022b241d241g131g00.f</t>
    </r>
  </si>
  <si>
    <r>
      <rPr>
        <b val="0"/>
        <i val="0"/>
        <strike val="0"/>
        <color rgb="FF175CEB"/>
        <sz val="10"/>
        <u/>
      </rPr>
      <t>https://pzplus.tck.mn/p?fivecells/10/10/2b23n1a2c11a2a13f1m1c1g1b2c33b2b22e3e2a2f</t>
    </r>
  </si>
  <si>
    <r>
      <rPr>
        <b val="0"/>
        <i val="0"/>
        <strike val="0"/>
        <color rgb="FF175CEB"/>
        <sz val="10"/>
        <u/>
      </rPr>
      <t>https://pzplus.tck.mn/p?putteria/10/10/65d7ku76djcsktimkjdu5c3mrrmib65tsi6kzzzzz</t>
    </r>
  </si>
  <si>
    <r>
      <rPr>
        <b val="0"/>
        <i val="0"/>
        <strike val="0"/>
        <color rgb="FF175CEB"/>
        <sz val="10"/>
        <u/>
      </rPr>
      <t>https://pzplus.tck.mn/p?starbattle/10/10/2/10rhmcugkogd6dhn124806r6e98omedacg2c</t>
    </r>
  </si>
  <si>
    <r>
      <rPr>
        <b val="0"/>
        <i val="0"/>
        <strike val="0"/>
        <color rgb="FF175CEB"/>
        <sz val="10"/>
        <u/>
      </rPr>
      <t>https://pzplus.tck.mn/p?norinori/10/10/1c6nlmpdjhc1419951u2f2iv0uf5vqvmvt5u</t>
    </r>
  </si>
  <si>
    <r>
      <rPr>
        <b val="0"/>
        <i val="0"/>
        <strike val="0"/>
        <color rgb="FF175CEB"/>
        <sz val="10"/>
        <u/>
      </rPr>
      <t>https://pzplus.tck.mn/p?nurikabe/10/10/s8p6l6j4g5g7i3zi3zk7k</t>
    </r>
  </si>
  <si>
    <r>
      <rPr>
        <b val="0"/>
        <i val="0"/>
        <strike val="0"/>
        <color rgb="FF175CEB"/>
        <sz val="10"/>
        <u/>
      </rPr>
      <t>https://pzplus.tck.mn/p?koburin/b/10/10/.kau.tcbrccrcuci./</t>
    </r>
  </si>
  <si>
    <r>
      <rPr>
        <b val="0"/>
        <i val="0"/>
        <strike val="0"/>
        <color rgb="FF175CEB"/>
        <sz val="10"/>
        <u/>
      </rPr>
      <t>https://pzplus.tck.mn/p?slalom/d/17/17/e14271331417241418161516251526271415251615192f13341313331314152j151314141333331718241624171314261428172814133427261a15131713331524171526252c1414152iu2b4c3c4d3dg1bzk/0</t>
    </r>
  </si>
  <si>
    <r>
      <rPr>
        <b val="0"/>
        <i val="0"/>
        <strike val="0"/>
        <color rgb="FF175CEB"/>
        <sz val="10"/>
        <u/>
      </rPr>
      <t>https://pzplus.tck.mn/p?dbchoco/10/10/0usususu0000f7f7f7f0g4w6i4s2h1zp5r6q3i</t>
    </r>
  </si>
  <si>
    <r>
      <rPr>
        <b val="0"/>
        <i val="0"/>
        <strike val="0"/>
        <color rgb="FF175CEB"/>
        <sz val="10"/>
        <u/>
      </rPr>
      <t>https://pzplus.tck.mn/p?wagiri/7/7/u62em3dido6cg2cmg1a1l2j2o</t>
    </r>
  </si>
  <si>
    <r>
      <rPr>
        <b val="0"/>
        <i val="0"/>
        <strike val="0"/>
        <color rgb="FF175CEB"/>
        <sz val="10"/>
        <u/>
      </rPr>
      <t>https://pzplus.tck.mn/p?pentopia/10/10/kcwfs9hax1hfs6w8k//p</t>
    </r>
  </si>
  <si>
    <r>
      <rPr>
        <b val="0"/>
        <i val="0"/>
        <strike val="0"/>
        <color rgb="FF175CEB"/>
        <sz val="10"/>
        <u/>
      </rPr>
      <t>https://pzplus.tck.mn/p?lightshadow/7/7/k1haq11g1gagaaq1hak</t>
    </r>
  </si>
  <si>
    <r>
      <rPr>
        <b val="1"/>
        <i val="0"/>
        <strike val="0"/>
        <color rgb="FFC00000"/>
        <sz val="10"/>
      </rPr>
      <t>入る</t>
    </r>
    <r>
      <rPr>
        <b val="0"/>
        <i val="0"/>
        <strike val="0"/>
        <color rgb="FF000000"/>
        <sz val="10"/>
      </rPr>
      <t>+</t>
    </r>
    <r>
      <rPr>
        <b val="1"/>
        <i val="0"/>
        <strike val="0"/>
        <color rgb="FFC00000"/>
        <sz val="10"/>
      </rPr>
      <t xml:space="preserve">数 </t>
    </r>
    <r>
      <rPr>
        <b val="0"/>
        <i val="0"/>
        <strike val="0"/>
        <color rgb="FF000000"/>
        <sz val="10"/>
      </rPr>
      <t>双关</t>
    </r>
    <r>
      <rPr>
        <b val="1"/>
        <i val="0"/>
        <strike val="0"/>
        <color rgb="FFC00000"/>
        <sz val="10"/>
      </rPr>
      <t xml:space="preserve"> </t>
    </r>
    <r>
      <rPr>
        <b val="1"/>
        <i val="0"/>
        <strike val="0"/>
        <color rgb="FF0070C0"/>
        <sz val="10"/>
      </rPr>
      <t>house</t>
    </r>
  </si>
  <si>
    <r>
      <rPr>
        <b val="0"/>
        <i val="0"/>
        <strike val="0"/>
        <color rgb="FF000000"/>
        <sz val="10"/>
      </rPr>
      <t xml:space="preserve">缩略自 </t>
    </r>
    <r>
      <rPr>
        <b val="1"/>
        <i val="0"/>
        <strike val="0"/>
        <color rgb="FFC00000"/>
        <sz val="10"/>
      </rPr>
      <t>修学旅行の夜</t>
    </r>
  </si>
  <si>
    <r>
      <rPr>
        <b val="1"/>
        <i val="0"/>
        <strike val="0"/>
        <color rgb="FFC00000"/>
        <sz val="10"/>
      </rPr>
      <t>黒白</t>
    </r>
    <r>
      <rPr>
        <b val="0"/>
        <i val="0"/>
        <strike val="0"/>
        <color rgb="FF000000"/>
        <sz val="10"/>
      </rPr>
      <t>+</t>
    </r>
    <r>
      <rPr>
        <b val="1"/>
        <i val="0"/>
        <strike val="0"/>
        <color rgb="FF0070C0"/>
        <sz val="10"/>
      </rPr>
      <t>loop</t>
    </r>
  </si>
</sst>
</file>

<file path=xl/styles.xml><?xml version="1.0" encoding="utf-8"?>
<styleSheet xmlns="http://schemas.openxmlformats.org/spreadsheetml/2006/main">
  <fonts count="39">
    <font>
      <name val="等线"/>
      <charset val="134"/>
      <family val="2"/>
      <color theme="1"/>
      <sz val="10"/>
      <scheme val="minor"/>
    </font>
    <font>
      <name val="等线"/>
      <charset val="134"/>
      <color rgb="FF175CEB"/>
      <sz val="10"/>
      <u/>
      <scheme val="minor"/>
    </font>
    <font>
      <name val="Segoe UI Symbol"/>
      <family val="2"/>
      <color rgb="FF000000"/>
      <sz val="10"/>
    </font>
    <font>
      <b val="1"/>
      <sz val="18"/>
    </font>
    <font>
      <sz val="18"/>
    </font>
    <font>
      <b val="1"/>
      <color rgb="FFC00000"/>
      <sz val="18"/>
    </font>
    <font>
      <sz val="16"/>
    </font>
    <font>
      <b val="1"/>
      <sz val="18"/>
    </font>
    <font>
      <color rgb="FFFFFFFF"/>
      <sz val="16"/>
    </font>
    <font>
      <sz val="16"/>
    </font>
    <font>
      <b val="1"/>
      <color rgb="FFC00000"/>
      <sz val="16"/>
    </font>
    <font>
      <b val="0"/>
      <sz val="16"/>
    </font>
    <font>
      <b val="1"/>
      <sz val="16"/>
    </font>
    <font>
      <color rgb="FFC00000"/>
      <sz val="16"/>
    </font>
    <font>
      <b val="1"/>
      <color rgb="FFC00000"/>
      <sz val="16"/>
    </font>
    <font>
      <color rgb="FFC00000"/>
      <sz val="16"/>
    </font>
    <font>
      <b val="1"/>
      <sz val="16"/>
    </font>
    <font>
      <sz val="18"/>
    </font>
    <font>
      <b val="1"/>
    </font>
    <font>
      <b val="1"/>
      <color rgb="FF000000"/>
    </font>
    <font>
      <color rgb="FFFF0000"/>
    </font>
    <font>
      <b val="1"/>
    </font>
    <font/>
    <font>
      <color rgb="FFFF0000"/>
    </font>
    <font>
      <b val="1"/>
      <color rgb="FFC00000"/>
    </font>
    <font>
      <b val="1"/>
      <color rgb="FF175CEB"/>
      <u/>
    </font>
    <font>
      <color rgb="FFDE322C"/>
    </font>
    <font>
      <b val="1"/>
      <color rgb="FF0070C0"/>
    </font>
    <font>
      <name val="sans-serif"/>
    </font>
    <font>
      <b val="1"/>
      <color rgb="FFAE2E19"/>
    </font>
    <font>
      <color rgb="FFFFFFFF"/>
    </font>
    <font>
      <name val="Arial"/>
      <b val="1"/>
      <color rgb="FFC00000"/>
    </font>
    <font/>
    <font>
      <name val="Arial"/>
    </font>
    <font/>
    <font>
      <b val="1"/>
      <color rgb="FF175CEB"/>
      <u/>
    </font>
    <font>
      <b val="1"/>
    </font>
    <font>
      <color rgb="FF000000"/>
    </font>
    <font>
      <b val="0"/>
      <color rgb="FFFF0000"/>
    </font>
  </fonts>
  <fills count="267">
    <fill>
      <patternFill patternType="none"/>
    </fill>
    <fill>
      <patternFill patternType="gray125"/>
    </fill>
    <fill>
      <patternFill patternType="solid">
        <fgColor rgb="FFEAFAF1"/>
      </patternFill>
    </fill>
    <fill>
      <patternFill patternType="solid">
        <fgColor rgb="FF7F7F7F"/>
      </patternFill>
    </fill>
    <fill>
      <patternFill patternType="solid">
        <fgColor rgb="FFD8D8D8"/>
      </patternFill>
    </fill>
    <fill>
      <patternFill patternType="solid">
        <fgColor rgb="FFFFC9C7"/>
      </patternFill>
    </fill>
    <fill>
      <patternFill patternType="solid">
        <fgColor rgb="FF98D7B6"/>
      </patternFill>
    </fill>
    <fill>
      <patternFill patternType="solid">
        <fgColor rgb="FFC7DCFF"/>
      </patternFill>
    </fill>
    <fill>
      <patternFill patternType="solid">
        <fgColor rgb="FF0070C0"/>
      </patternFill>
    </fill>
    <fill>
      <patternFill patternType="solid">
        <fgColor rgb="FFF2F2F2"/>
      </patternFill>
    </fill>
    <fill>
      <patternFill patternType="solid">
        <fgColor rgb="FFF2F2F2"/>
      </patternFill>
    </fill>
    <fill>
      <patternFill patternType="solid">
        <fgColor rgb="FFEAFAF1"/>
        <bgColor auto="1"/>
      </patternFill>
    </fill>
    <fill>
      <patternFill patternType="solid">
        <fgColor rgb="FFEAFAF1"/>
        <bgColor auto="1"/>
      </patternFill>
    </fill>
    <fill>
      <patternFill patternType="solid">
        <fgColor rgb="FF8BC97D"/>
        <bgColor auto="1"/>
      </patternFill>
    </fill>
    <fill>
      <patternFill patternType="solid">
        <fgColor rgb="FFC3EAD5"/>
        <bgColor auto="1"/>
      </patternFill>
    </fill>
    <fill>
      <patternFill patternType="solid">
        <fgColor rgb="FFFFE9E8"/>
        <bgColor auto="1"/>
      </patternFill>
    </fill>
    <fill/>
    <fill>
      <patternFill patternType="solid">
        <fgColor rgb="FFA2D07E"/>
        <bgColor auto="1"/>
      </patternFill>
    </fill>
    <fill>
      <patternFill patternType="solid">
        <fgColor rgb="FFFFF9E3"/>
        <bgColor auto="1"/>
      </patternFill>
    </fill>
    <fill>
      <patternFill patternType="solid">
        <fgColor rgb="FFB9D780"/>
        <bgColor auto="1"/>
      </patternFill>
    </fill>
    <fill>
      <patternFill patternType="solid">
        <fgColor rgb="FFCBDC81"/>
        <bgColor auto="1"/>
      </patternFill>
    </fill>
    <fill>
      <patternFill patternType="solid">
        <fgColor rgb="FFCDDC81"/>
        <bgColor auto="1"/>
      </patternFill>
    </fill>
    <fill>
      <patternFill patternType="solid">
        <fgColor rgb="FFDCE182"/>
        <bgColor auto="1"/>
      </patternFill>
    </fill>
    <fill>
      <patternFill patternType="solid">
        <fgColor rgb="FFE7E482"/>
        <bgColor auto="1"/>
      </patternFill>
    </fill>
    <fill>
      <patternFill patternType="solid">
        <fgColor rgb="FFEDE683"/>
        <bgColor auto="1"/>
      </patternFill>
    </fill>
    <fill>
      <patternFill patternType="solid">
        <fgColor rgb="FFF3E783"/>
        <bgColor auto="1"/>
      </patternFill>
    </fill>
    <fill>
      <patternFill patternType="solid">
        <fgColor rgb="FFFCEA83"/>
        <bgColor auto="1"/>
      </patternFill>
    </fill>
    <fill>
      <patternFill patternType="solid">
        <fgColor rgb="FFFEE983"/>
        <bgColor auto="1"/>
      </patternFill>
    </fill>
    <fill>
      <patternFill patternType="solid">
        <fgColor rgb="FFFEE783"/>
        <bgColor auto="1"/>
      </patternFill>
    </fill>
    <fill>
      <patternFill patternType="solid">
        <fgColor rgb="FFFEE582"/>
        <bgColor auto="1"/>
      </patternFill>
    </fill>
    <fill>
      <patternFill patternType="solid">
        <fgColor rgb="FFFEE282"/>
        <bgColor auto="1"/>
      </patternFill>
    </fill>
    <fill>
      <patternFill patternType="solid">
        <fgColor rgb="FFFEDF81"/>
        <bgColor auto="1"/>
      </patternFill>
    </fill>
    <fill>
      <patternFill patternType="solid">
        <fgColor rgb="FFFEDD81"/>
        <bgColor auto="1"/>
      </patternFill>
    </fill>
    <fill>
      <patternFill patternType="solid">
        <fgColor rgb="FFFEDC81"/>
        <bgColor auto="1"/>
      </patternFill>
    </fill>
    <fill>
      <patternFill patternType="solid">
        <fgColor rgb="FFFDCD7E"/>
        <bgColor auto="1"/>
      </patternFill>
    </fill>
    <fill>
      <patternFill patternType="solid">
        <fgColor rgb="FFFCC17C"/>
        <bgColor auto="1"/>
      </patternFill>
    </fill>
    <fill>
      <patternFill patternType="solid">
        <fgColor rgb="FFFCB87A"/>
        <bgColor auto="1"/>
      </patternFill>
    </fill>
    <fill>
      <patternFill patternType="solid">
        <fgColor rgb="FFFCB77A"/>
        <bgColor auto="1"/>
      </patternFill>
    </fill>
    <fill>
      <patternFill patternType="solid">
        <fgColor rgb="FFFCB379"/>
        <bgColor auto="1"/>
      </patternFill>
    </fill>
    <fill>
      <patternFill patternType="solid">
        <fgColor rgb="FFFBAE78"/>
        <bgColor auto="1"/>
      </patternFill>
    </fill>
    <fill>
      <patternFill patternType="solid">
        <fgColor rgb="FFFA9D75"/>
        <bgColor auto="1"/>
      </patternFill>
    </fill>
    <fill>
      <patternFill patternType="solid">
        <fgColor rgb="FF7F7F7F"/>
        <bgColor auto="1"/>
      </patternFill>
    </fill>
    <fill>
      <patternFill patternType="solid">
        <fgColor rgb="FF7F7F7F"/>
        <bgColor auto="1"/>
      </patternFill>
    </fill>
    <fill>
      <patternFill patternType="solid">
        <fgColor rgb="FF6BC07B"/>
        <bgColor auto="1"/>
      </patternFill>
    </fill>
    <fill>
      <patternFill patternType="solid">
        <fgColor rgb="FF88C87D"/>
        <bgColor auto="1"/>
      </patternFill>
    </fill>
    <fill>
      <patternFill patternType="solid">
        <fgColor rgb="FF9CCE7E"/>
        <bgColor auto="1"/>
      </patternFill>
    </fill>
    <fill>
      <patternFill patternType="solid">
        <fgColor rgb="FFC2D980"/>
        <bgColor auto="1"/>
      </patternFill>
    </fill>
    <fill>
      <patternFill patternType="solid">
        <fgColor rgb="FFC8DB80"/>
        <bgColor auto="1"/>
      </patternFill>
    </fill>
    <fill>
      <patternFill patternType="solid">
        <fgColor rgb="FFD3DE81"/>
        <bgColor auto="1"/>
      </patternFill>
    </fill>
    <fill>
      <patternFill patternType="solid">
        <fgColor rgb="FFDFE182"/>
        <bgColor auto="1"/>
      </patternFill>
    </fill>
    <fill>
      <patternFill patternType="solid">
        <fgColor rgb="FFE2E282"/>
        <bgColor auto="1"/>
      </patternFill>
    </fill>
    <fill>
      <patternFill patternType="solid">
        <fgColor rgb="FFE4E382"/>
        <bgColor auto="1"/>
      </patternFill>
    </fill>
    <fill/>
    <fill/>
    <fill>
      <patternFill patternType="solid">
        <fgColor rgb="FFF0E683"/>
        <bgColor auto="1"/>
      </patternFill>
    </fill>
    <fill>
      <patternFill patternType="solid">
        <fgColor rgb="FFFFC9C7"/>
        <bgColor auto="1"/>
      </patternFill>
    </fill>
    <fill>
      <patternFill patternType="solid">
        <fgColor rgb="FFFEE482"/>
        <bgColor auto="1"/>
      </patternFill>
    </fill>
    <fill>
      <patternFill patternType="solid">
        <fgColor rgb="FFFEE182"/>
        <bgColor auto="1"/>
      </patternFill>
    </fill>
    <fill>
      <patternFill patternType="solid">
        <fgColor rgb="FFFEDE81"/>
        <bgColor auto="1"/>
      </patternFill>
    </fill>
    <fill>
      <patternFill patternType="solid">
        <fgColor rgb="FFFED980"/>
        <bgColor auto="1"/>
      </patternFill>
    </fill>
    <fill>
      <patternFill patternType="solid">
        <fgColor rgb="FFFDCB7D"/>
        <bgColor auto="1"/>
      </patternFill>
    </fill>
    <fill>
      <patternFill patternType="solid">
        <fgColor rgb="FFFDC77D"/>
        <bgColor auto="1"/>
      </patternFill>
    </fill>
    <fill>
      <patternFill patternType="solid">
        <fgColor rgb="FFFCC57C"/>
        <bgColor auto="1"/>
      </patternFill>
    </fill>
    <fill>
      <patternFill patternType="solid">
        <fgColor rgb="FFFCC07B"/>
        <bgColor auto="1"/>
      </patternFill>
    </fill>
    <fill>
      <patternFill patternType="solid">
        <fgColor rgb="FFFCB479"/>
        <bgColor auto="1"/>
      </patternFill>
    </fill>
    <fill>
      <patternFill patternType="solid">
        <fgColor rgb="FFFBB279"/>
        <bgColor auto="1"/>
      </patternFill>
    </fill>
    <fill>
      <patternFill patternType="solid">
        <fgColor rgb="FFFA9774"/>
        <bgColor auto="1"/>
      </patternFill>
    </fill>
    <fill>
      <patternFill patternType="solid">
        <fgColor rgb="FFD8D8D8"/>
        <bgColor auto="1"/>
      </patternFill>
    </fill>
    <fill>
      <patternFill patternType="solid">
        <fgColor rgb="FFD8D8D8"/>
        <bgColor auto="1"/>
      </patternFill>
    </fill>
    <fill>
      <patternFill patternType="solid">
        <fgColor rgb="FF71C27B"/>
        <bgColor auto="1"/>
      </patternFill>
    </fill>
    <fill>
      <patternFill patternType="solid">
        <fgColor rgb="FFFFBA84"/>
        <bgColor auto="1"/>
      </patternFill>
    </fill>
    <fill>
      <patternFill patternType="solid">
        <fgColor rgb="FF7FC67C"/>
        <bgColor auto="1"/>
      </patternFill>
    </fill>
    <fill>
      <patternFill patternType="solid">
        <fgColor rgb="FF94CC7D"/>
        <bgColor auto="1"/>
      </patternFill>
    </fill>
    <fill>
      <patternFill patternType="solid">
        <fgColor rgb="FFB1D47F"/>
        <bgColor auto="1"/>
      </patternFill>
    </fill>
    <fill>
      <patternFill patternType="solid">
        <fgColor rgb="FFB3D57F"/>
        <bgColor auto="1"/>
      </patternFill>
    </fill>
    <fill>
      <patternFill patternType="solid">
        <fgColor rgb="FFD0DD81"/>
        <bgColor auto="1"/>
      </patternFill>
    </fill>
    <fill>
      <patternFill patternType="solid">
        <fgColor rgb="FFF9E983"/>
        <bgColor auto="1"/>
      </patternFill>
    </fill>
    <fill>
      <patternFill patternType="solid">
        <fgColor rgb="FFFEE683"/>
        <bgColor auto="1"/>
      </patternFill>
    </fill>
    <fill>
      <patternFill patternType="solid">
        <fgColor rgb="FFFEE382"/>
        <bgColor auto="1"/>
      </patternFill>
    </fill>
    <fill>
      <patternFill patternType="solid">
        <fgColor rgb="FFFEDB80"/>
        <bgColor auto="1"/>
      </patternFill>
    </fill>
    <fill>
      <patternFill patternType="solid">
        <fgColor rgb="FFFDD47F"/>
        <bgColor auto="1"/>
      </patternFill>
    </fill>
    <fill>
      <patternFill patternType="solid">
        <fgColor rgb="FFFDCC7E"/>
        <bgColor auto="1"/>
      </patternFill>
    </fill>
    <fill>
      <patternFill patternType="solid">
        <fgColor rgb="FFFDC87D"/>
        <bgColor auto="1"/>
      </patternFill>
    </fill>
    <fill>
      <patternFill patternType="solid">
        <fgColor rgb="FFFCC27C"/>
        <bgColor auto="1"/>
      </patternFill>
    </fill>
    <fill>
      <patternFill patternType="solid">
        <fgColor rgb="FFFCB579"/>
        <bgColor auto="1"/>
      </patternFill>
    </fill>
    <fill>
      <patternFill patternType="solid">
        <fgColor rgb="FFFFC9C7"/>
        <bgColor auto="1"/>
      </patternFill>
    </fill>
    <fill>
      <patternFill patternType="solid">
        <fgColor rgb="FF7DC57C"/>
        <bgColor auto="1"/>
      </patternFill>
    </fill>
    <fill>
      <patternFill patternType="solid">
        <fgColor rgb="FF8ECA7D"/>
        <bgColor auto="1"/>
      </patternFill>
    </fill>
    <fill>
      <patternFill patternType="solid">
        <fgColor rgb="FF91CB7D"/>
        <bgColor auto="1"/>
      </patternFill>
    </fill>
    <fill>
      <patternFill patternType="solid">
        <fgColor rgb="FFC5DA80"/>
        <bgColor auto="1"/>
      </patternFill>
    </fill>
    <fill>
      <patternFill patternType="solid">
        <fgColor rgb="FFD9E081"/>
        <bgColor auto="1"/>
      </patternFill>
    </fill>
    <fill>
      <patternFill patternType="solid">
        <fgColor rgb="FFF6E883"/>
        <bgColor auto="1"/>
      </patternFill>
    </fill>
    <fill>
      <patternFill patternType="solid">
        <fgColor rgb="FFFEE883"/>
        <bgColor auto="1"/>
      </patternFill>
    </fill>
    <fill>
      <patternFill patternType="solid">
        <fgColor rgb="FFFEE081"/>
        <bgColor auto="1"/>
      </patternFill>
    </fill>
    <fill>
      <patternFill patternType="solid">
        <fgColor rgb="FFFDD680"/>
        <bgColor auto="1"/>
      </patternFill>
    </fill>
    <fill>
      <patternFill patternType="solid">
        <fgColor rgb="FFC00000"/>
        <bgColor auto="1"/>
      </patternFill>
    </fill>
    <fill>
      <patternFill patternType="solid">
        <fgColor rgb="FFFDD57F"/>
        <bgColor auto="1"/>
      </patternFill>
    </fill>
    <fill>
      <patternFill patternType="solid">
        <fgColor rgb="FFFDC97D"/>
        <bgColor auto="1"/>
      </patternFill>
    </fill>
    <fill>
      <patternFill patternType="solid">
        <fgColor rgb="FFFCB97A"/>
        <bgColor auto="1"/>
      </patternFill>
    </fill>
    <fill>
      <patternFill patternType="solid">
        <fgColor rgb="FFFA9E75"/>
        <bgColor auto="1"/>
      </patternFill>
    </fill>
    <fill>
      <patternFill patternType="solid">
        <fgColor rgb="FF98D7B6"/>
        <bgColor auto="1"/>
      </patternFill>
    </fill>
    <fill>
      <patternFill patternType="solid">
        <fgColor rgb="FF74C27B"/>
        <bgColor auto="1"/>
      </patternFill>
    </fill>
    <fill>
      <patternFill patternType="solid">
        <fgColor rgb="FF96CC7D"/>
        <bgColor auto="1"/>
      </patternFill>
    </fill>
    <fill>
      <patternFill patternType="solid">
        <fgColor rgb="FF99CD7E"/>
        <bgColor auto="1"/>
      </patternFill>
    </fill>
    <fill>
      <patternFill patternType="solid">
        <fgColor rgb="FFA5D17E"/>
        <bgColor auto="1"/>
      </patternFill>
    </fill>
    <fill>
      <patternFill patternType="solid">
        <fgColor rgb="FFA8D17E"/>
        <bgColor auto="1"/>
      </patternFill>
    </fill>
    <fill>
      <patternFill patternType="solid">
        <fgColor rgb="FFB6D67F"/>
        <bgColor auto="1"/>
      </patternFill>
    </fill>
    <fill>
      <patternFill patternType="solid">
        <fgColor rgb="FFBCD780"/>
        <bgColor auto="1"/>
      </patternFill>
    </fill>
    <fill>
      <patternFill patternType="solid">
        <fgColor rgb="FFFDD07E"/>
        <bgColor auto="1"/>
      </patternFill>
    </fill>
    <fill>
      <patternFill patternType="solid">
        <fgColor rgb="FFFCBF7B"/>
        <bgColor auto="1"/>
      </patternFill>
    </fill>
    <fill>
      <patternFill patternType="solid">
        <fgColor rgb="FFFBAB77"/>
        <bgColor auto="1"/>
      </patternFill>
    </fill>
    <fill>
      <patternFill patternType="solid">
        <fgColor rgb="FFC7DCFF"/>
        <bgColor auto="1"/>
      </patternFill>
    </fill>
    <fill>
      <patternFill patternType="solid">
        <fgColor rgb="FF77C37C"/>
        <bgColor auto="1"/>
      </patternFill>
    </fill>
    <fill>
      <patternFill patternType="solid">
        <fgColor rgb="FFBFD880"/>
        <bgColor auto="1"/>
      </patternFill>
    </fill>
    <fill>
      <patternFill patternType="solid">
        <fgColor rgb="FFFFEB84"/>
        <bgColor auto="1"/>
      </patternFill>
    </fill>
    <fill>
      <patternFill patternType="solid">
        <fgColor rgb="FFFED880"/>
        <bgColor auto="1"/>
      </patternFill>
    </fill>
    <fill>
      <patternFill patternType="solid">
        <fgColor rgb="FFFDD27F"/>
        <bgColor auto="1"/>
      </patternFill>
    </fill>
    <fill>
      <patternFill patternType="solid">
        <fgColor rgb="FFFDD17F"/>
        <bgColor auto="1"/>
      </patternFill>
    </fill>
    <fill>
      <patternFill patternType="solid">
        <fgColor rgb="FFFDCF7E"/>
        <bgColor auto="1"/>
      </patternFill>
    </fill>
    <fill>
      <patternFill patternType="solid">
        <fgColor rgb="FFFDC67D"/>
        <bgColor auto="1"/>
      </patternFill>
    </fill>
    <fill>
      <patternFill patternType="solid">
        <fgColor rgb="FFFCBC7A"/>
        <bgColor auto="1"/>
      </patternFill>
    </fill>
    <fill>
      <patternFill patternType="solid">
        <fgColor rgb="FFFCB679"/>
        <bgColor auto="1"/>
      </patternFill>
    </fill>
    <fill>
      <patternFill patternType="solid">
        <fgColor rgb="FFFBB178"/>
        <bgColor auto="1"/>
      </patternFill>
    </fill>
    <fill>
      <patternFill patternType="solid">
        <fgColor rgb="FFFBAD78"/>
        <bgColor auto="1"/>
      </patternFill>
    </fill>
    <fill>
      <patternFill patternType="solid">
        <fgColor rgb="FFFA9F75"/>
        <bgColor auto="1"/>
      </patternFill>
    </fill>
    <fill>
      <patternFill patternType="solid">
        <fgColor rgb="FFF8696B"/>
        <bgColor auto="1"/>
      </patternFill>
    </fill>
    <fill>
      <patternFill patternType="solid">
        <fgColor rgb="FF0070C0"/>
        <bgColor auto="1"/>
      </patternFill>
    </fill>
    <fill>
      <patternFill patternType="solid">
        <fgColor rgb="FF63BE7B"/>
        <bgColor auto="1"/>
      </patternFill>
    </fill>
    <fill>
      <patternFill patternType="solid">
        <fgColor rgb="FFEAE582"/>
        <bgColor auto="1"/>
      </patternFill>
    </fill>
    <fill>
      <patternFill patternType="solid">
        <fgColor rgb="FFA1D07E"/>
        <bgColor auto="1"/>
      </patternFill>
    </fill>
    <fill>
      <patternFill patternType="solid">
        <fgColor rgb="FFB8D67F"/>
        <bgColor auto="1"/>
      </patternFill>
    </fill>
    <fill>
      <patternFill patternType="solid">
        <fgColor rgb="FFCADB80"/>
        <bgColor auto="1"/>
      </patternFill>
    </fill>
    <fill>
      <patternFill patternType="solid">
        <fgColor rgb="FFCCDC81"/>
        <bgColor auto="1"/>
      </patternFill>
    </fill>
    <fill>
      <patternFill patternType="solid">
        <fgColor rgb="FFDBE081"/>
        <bgColor auto="1"/>
      </patternFill>
    </fill>
    <fill>
      <patternFill patternType="solid">
        <fgColor rgb="FFE6E382"/>
        <bgColor auto="1"/>
      </patternFill>
    </fill>
    <fill>
      <patternFill patternType="solid">
        <fgColor rgb="FFECE582"/>
        <bgColor auto="1"/>
      </patternFill>
    </fill>
    <fill>
      <patternFill patternType="solid">
        <fgColor rgb="FFF2E783"/>
        <bgColor auto="1"/>
      </patternFill>
    </fill>
    <fill>
      <patternFill patternType="solid">
        <fgColor rgb="FFFAE983"/>
        <bgColor auto="1"/>
      </patternFill>
    </fill>
    <fill>
      <patternFill patternType="solid">
        <fgColor rgb="FFFEEA83"/>
        <bgColor auto="1"/>
      </patternFill>
    </fill>
    <fill>
      <patternFill patternType="solid">
        <fgColor rgb="FFC1D980"/>
        <bgColor auto="1"/>
      </patternFill>
    </fill>
    <fill>
      <patternFill patternType="solid">
        <fgColor rgb="FFC7DA80"/>
        <bgColor auto="1"/>
      </patternFill>
    </fill>
    <fill>
      <patternFill patternType="solid">
        <fgColor rgb="FFD2DE81"/>
        <bgColor auto="1"/>
      </patternFill>
    </fill>
    <fill>
      <patternFill patternType="solid">
        <fgColor rgb="FFDEE182"/>
        <bgColor auto="1"/>
      </patternFill>
    </fill>
    <fill>
      <patternFill patternType="solid">
        <fgColor rgb="FFE0E282"/>
        <bgColor auto="1"/>
      </patternFill>
    </fill>
    <fill>
      <patternFill patternType="solid">
        <fgColor rgb="FFE3E382"/>
        <bgColor auto="1"/>
      </patternFill>
    </fill>
    <fill>
      <patternFill patternType="solid">
        <fgColor rgb="FFEFE683"/>
        <bgColor auto="1"/>
      </patternFill>
    </fill>
    <fill>
      <patternFill patternType="solid">
        <fgColor rgb="FFFEDA80"/>
        <bgColor auto="1"/>
      </patternFill>
    </fill>
    <fill>
      <patternFill patternType="solid">
        <fgColor rgb="FFFDC67C"/>
        <bgColor auto="1"/>
      </patternFill>
    </fill>
    <fill>
      <patternFill patternType="solid">
        <fgColor rgb="FFFBA175"/>
        <bgColor auto="1"/>
      </patternFill>
    </fill>
    <fill>
      <patternFill patternType="solid">
        <fgColor rgb="FFFA9874"/>
        <bgColor auto="1"/>
      </patternFill>
    </fill>
    <fill>
      <patternFill patternType="solid">
        <fgColor rgb="FF93CC7D"/>
        <bgColor auto="1"/>
      </patternFill>
    </fill>
    <fill>
      <patternFill patternType="solid">
        <fgColor rgb="FFB0D47F"/>
        <bgColor auto="1"/>
      </patternFill>
    </fill>
    <fill>
      <patternFill patternType="solid">
        <fgColor rgb="FFCFDD81"/>
        <bgColor auto="1"/>
      </patternFill>
    </fill>
    <fill>
      <patternFill patternType="solid">
        <fgColor rgb="FFF7E883"/>
        <bgColor auto="1"/>
      </patternFill>
    </fill>
    <fill>
      <patternFill patternType="solid">
        <fgColor rgb="FFFEDB81"/>
        <bgColor auto="1"/>
      </patternFill>
    </fill>
    <fill>
      <patternFill patternType="solid">
        <fgColor rgb="FF7CC57C"/>
        <bgColor auto="1"/>
      </patternFill>
    </fill>
    <fill>
      <patternFill patternType="solid">
        <fgColor rgb="FF8DCA7D"/>
        <bgColor auto="1"/>
      </patternFill>
    </fill>
    <fill>
      <patternFill patternType="solid">
        <fgColor rgb="FF90CB7D"/>
        <bgColor auto="1"/>
      </patternFill>
    </fill>
    <fill>
      <patternFill patternType="solid">
        <fgColor rgb="FFC4DA80"/>
        <bgColor auto="1"/>
      </patternFill>
    </fill>
    <fill>
      <patternFill patternType="solid">
        <fgColor rgb="FFD8DF81"/>
        <bgColor auto="1"/>
      </patternFill>
    </fill>
    <fill>
      <patternFill patternType="solid">
        <fgColor rgb="FFF4E883"/>
        <bgColor auto="1"/>
      </patternFill>
    </fill>
    <fill>
      <patternFill patternType="solid">
        <fgColor rgb="FFFEE082"/>
        <bgColor auto="1"/>
      </patternFill>
    </fill>
    <fill>
      <patternFill patternType="solid">
        <fgColor rgb="FFFDD780"/>
        <bgColor auto="1"/>
      </patternFill>
    </fill>
    <fill>
      <patternFill patternType="solid">
        <fgColor rgb="FFFDD67F"/>
        <bgColor auto="1"/>
      </patternFill>
    </fill>
    <fill>
      <patternFill patternType="solid">
        <fgColor rgb="FFFDCA7D"/>
        <bgColor auto="1"/>
      </patternFill>
    </fill>
    <fill>
      <patternFill patternType="solid">
        <fgColor rgb="FFFCBA7A"/>
        <bgColor auto="1"/>
      </patternFill>
    </fill>
    <fill>
      <patternFill patternType="solid">
        <fgColor rgb="FFA4D07E"/>
        <bgColor auto="1"/>
      </patternFill>
    </fill>
    <fill>
      <patternFill patternType="solid">
        <fgColor rgb="FFA7D17E"/>
        <bgColor auto="1"/>
      </patternFill>
    </fill>
    <fill>
      <patternFill patternType="solid">
        <fgColor rgb="FFB6D57F"/>
        <bgColor auto="1"/>
      </patternFill>
    </fill>
    <fill>
      <patternFill patternType="solid">
        <fgColor rgb="FFBBD780"/>
        <bgColor auto="1"/>
      </patternFill>
    </fill>
    <fill>
      <patternFill patternType="solid">
        <fgColor rgb="FFBED880"/>
        <bgColor auto="1"/>
      </patternFill>
    </fill>
    <fill>
      <patternFill patternType="solid">
        <fgColor rgb="FFFDEA83"/>
        <bgColor auto="1"/>
      </patternFill>
    </fill>
    <fill>
      <patternFill patternType="solid">
        <fgColor rgb="FFFCBC7B"/>
        <bgColor auto="1"/>
      </patternFill>
    </fill>
    <fill>
      <patternFill patternType="solid">
        <fgColor rgb="FFE9E482"/>
        <bgColor auto="1"/>
      </patternFill>
    </fill>
    <fill>
      <patternFill patternType="solid">
        <bgColor rgb="FF83C77C"/>
      </patternFill>
    </fill>
    <fill>
      <patternFill patternType="solid">
        <bgColor rgb="FF9CCE7E"/>
      </patternFill>
    </fill>
    <fill>
      <patternFill patternType="solid">
        <bgColor rgb="FFB4D57F"/>
      </patternFill>
    </fill>
    <fill>
      <patternFill patternType="solid">
        <bgColor rgb="FFC5DA80"/>
      </patternFill>
    </fill>
    <fill>
      <patternFill patternType="solid">
        <bgColor rgb="FFC8DB80"/>
      </patternFill>
    </fill>
    <fill>
      <patternFill patternType="solid">
        <bgColor rgb="FFD8DF81"/>
      </patternFill>
    </fill>
    <fill>
      <patternFill patternType="solid">
        <bgColor rgb="FFE3E382"/>
      </patternFill>
    </fill>
    <fill>
      <patternFill patternType="solid">
        <bgColor rgb="FFEAE482"/>
      </patternFill>
    </fill>
    <fill>
      <patternFill patternType="solid">
        <bgColor rgb="FFEFE683"/>
      </patternFill>
    </fill>
    <fill>
      <patternFill patternType="solid">
        <bgColor rgb="FFF8E983"/>
      </patternFill>
    </fill>
    <fill>
      <patternFill patternType="solid">
        <bgColor rgb="FFFFEB84"/>
      </patternFill>
    </fill>
    <fill>
      <patternFill patternType="solid">
        <bgColor rgb="FFFEE783"/>
      </patternFill>
    </fill>
    <fill>
      <patternFill patternType="solid">
        <bgColor rgb="FFFEE482"/>
      </patternFill>
    </fill>
    <fill>
      <patternFill patternType="solid">
        <bgColor rgb="FFFEDF81"/>
      </patternFill>
    </fill>
    <fill>
      <patternFill patternType="solid">
        <bgColor rgb="FFFEDA80"/>
      </patternFill>
    </fill>
    <fill>
      <patternFill patternType="solid">
        <bgColor rgb="FFFDD680"/>
      </patternFill>
    </fill>
    <fill>
      <patternFill patternType="solid">
        <bgColor rgb="FFFDD57F"/>
      </patternFill>
    </fill>
    <fill>
      <patternFill patternType="solid">
        <bgColor rgb="FFFCBD7B"/>
      </patternFill>
    </fill>
    <fill>
      <patternFill patternType="solid">
        <bgColor rgb="FFFBAA77"/>
      </patternFill>
    </fill>
    <fill>
      <patternFill patternType="solid">
        <bgColor rgb="FFFA9D75"/>
      </patternFill>
    </fill>
    <fill>
      <patternFill patternType="solid">
        <bgColor rgb="FFFA9B74"/>
      </patternFill>
    </fill>
    <fill>
      <patternFill patternType="solid">
        <bgColor rgb="FFFA9473"/>
      </patternFill>
    </fill>
    <fill>
      <patternFill patternType="solid">
        <bgColor rgb="FFF98C71"/>
      </patternFill>
    </fill>
    <fill>
      <patternFill patternType="solid">
        <bgColor rgb="FFF8716C"/>
      </patternFill>
    </fill>
    <fill>
      <patternFill patternType="solid">
        <bgColor rgb="FF63BE7B"/>
      </patternFill>
    </fill>
    <fill>
      <patternFill patternType="solid">
        <bgColor rgb="FF81C67C"/>
      </patternFill>
    </fill>
    <fill>
      <patternFill patternType="solid">
        <bgColor rgb="FF95CC7D"/>
      </patternFill>
    </fill>
    <fill>
      <patternFill patternType="solid">
        <bgColor rgb="FFBCD780"/>
      </patternFill>
    </fill>
    <fill>
      <patternFill patternType="solid">
        <bgColor rgb="FFC3D980"/>
      </patternFill>
    </fill>
    <fill>
      <patternFill patternType="solid">
        <bgColor rgb="FFCFDD81"/>
      </patternFill>
    </fill>
    <fill>
      <patternFill patternType="solid">
        <bgColor rgb="FFDBE081"/>
      </patternFill>
    </fill>
    <fill>
      <patternFill patternType="solid">
        <bgColor rgb="FFDEE182"/>
      </patternFill>
    </fill>
    <fill>
      <patternFill patternType="solid">
        <bgColor rgb="FFE0E282"/>
      </patternFill>
    </fill>
    <fill>
      <patternFill patternType="solid">
        <bgColor rgb="FFECE582"/>
      </patternFill>
    </fill>
    <fill>
      <patternFill patternType="solid">
        <bgColor rgb="FFFEE282"/>
      </patternFill>
    </fill>
    <fill>
      <patternFill patternType="solid">
        <bgColor rgb="FFFEDD81"/>
      </patternFill>
    </fill>
    <fill>
      <patternFill patternType="solid">
        <bgColor rgb="FFFED880"/>
      </patternFill>
    </fill>
    <fill>
      <patternFill patternType="solid">
        <bgColor rgb="FFFDD17F"/>
      </patternFill>
    </fill>
    <fill>
      <patternFill patternType="solid">
        <bgColor rgb="FFFCBA7A"/>
      </patternFill>
    </fill>
    <fill>
      <patternFill patternType="solid">
        <bgColor rgb="FFFCB479"/>
      </patternFill>
    </fill>
    <fill>
      <patternFill patternType="solid">
        <bgColor rgb="FFFBB178"/>
      </patternFill>
    </fill>
    <fill>
      <patternFill patternType="solid">
        <bgColor rgb="FFFBA977"/>
      </patternFill>
    </fill>
    <fill>
      <patternFill patternType="solid">
        <bgColor rgb="FFFA9673"/>
      </patternFill>
    </fill>
    <fill>
      <patternFill patternType="solid">
        <bgColor rgb="FFFA9373"/>
      </patternFill>
    </fill>
    <fill>
      <patternFill patternType="solid">
        <bgColor rgb="FFF8786D"/>
      </patternFill>
    </fill>
    <fill>
      <patternFill patternType="solid">
        <bgColor rgb="FFF8696B"/>
      </patternFill>
    </fill>
    <fill>
      <patternFill patternType="solid">
        <bgColor rgb="FF68BF7B"/>
      </patternFill>
    </fill>
    <fill>
      <patternFill patternType="solid">
        <bgColor rgb="FF77C47C"/>
      </patternFill>
    </fill>
    <fill>
      <patternFill patternType="solid">
        <bgColor rgb="FF8DCA7D"/>
      </patternFill>
    </fill>
    <fill>
      <patternFill patternType="solid">
        <bgColor rgb="FFAAD27F"/>
      </patternFill>
    </fill>
    <fill>
      <patternFill patternType="solid">
        <bgColor rgb="FFADD37F"/>
      </patternFill>
    </fill>
    <fill>
      <patternFill patternType="solid">
        <bgColor rgb="FFCCDC81"/>
      </patternFill>
    </fill>
    <fill>
      <patternFill patternType="solid">
        <bgColor rgb="FFF6E883"/>
      </patternFill>
    </fill>
    <fill>
      <patternFill patternType="solid">
        <bgColor rgb="FFFEE583"/>
      </patternFill>
    </fill>
    <fill>
      <patternFill patternType="solid">
        <bgColor rgb="FFFEE082"/>
      </patternFill>
    </fill>
    <fill>
      <patternFill patternType="solid">
        <bgColor rgb="FFFDD37F"/>
      </patternFill>
    </fill>
    <fill>
      <patternFill patternType="solid">
        <bgColor rgb="FFFDC97D"/>
      </patternFill>
    </fill>
    <fill>
      <patternFill patternType="solid">
        <bgColor rgb="FFFCBB7A"/>
      </patternFill>
    </fill>
    <fill>
      <patternFill patternType="solid">
        <bgColor rgb="FFFCB679"/>
      </patternFill>
    </fill>
    <fill>
      <patternFill patternType="solid">
        <bgColor rgb="FFFBAC77"/>
      </patternFill>
    </fill>
    <fill>
      <patternFill patternType="solid">
        <bgColor rgb="FFFA9874"/>
      </patternFill>
    </fill>
    <fill>
      <patternFill patternType="solid">
        <bgColor rgb="FF75C37C"/>
      </patternFill>
    </fill>
    <fill>
      <patternFill patternType="solid">
        <bgColor rgb="FF86C87D"/>
      </patternFill>
    </fill>
    <fill>
      <patternFill patternType="solid">
        <bgColor rgb="FF8AC97D"/>
      </patternFill>
    </fill>
    <fill>
      <patternFill patternType="solid">
        <bgColor rgb="FFC0D880"/>
      </patternFill>
    </fill>
    <fill>
      <patternFill patternType="solid">
        <bgColor rgb="FFD4DE81"/>
      </patternFill>
    </fill>
    <fill>
      <patternFill patternType="solid">
        <bgColor rgb="FFF3E783"/>
      </patternFill>
    </fill>
    <fill>
      <patternFill patternType="solid">
        <bgColor rgb="FFFEE983"/>
      </patternFill>
    </fill>
    <fill>
      <patternFill patternType="solid">
        <bgColor rgb="FFFEDB81"/>
      </patternFill>
    </fill>
    <fill>
      <patternFill patternType="solid">
        <bgColor rgb="FFFDCC7E"/>
      </patternFill>
    </fill>
    <fill>
      <patternFill patternType="solid">
        <bgColor rgb="FFFDCA7D"/>
      </patternFill>
    </fill>
    <fill>
      <patternFill patternType="solid">
        <bgColor rgb="FFFCB87A"/>
      </patternFill>
    </fill>
    <fill>
      <patternFill patternType="solid">
        <bgColor rgb="FFFA9F75"/>
      </patternFill>
    </fill>
    <fill>
      <patternFill patternType="solid">
        <bgColor rgb="FFF8736C"/>
      </patternFill>
    </fill>
    <fill>
      <patternFill patternType="solid">
        <bgColor rgb="FF6BC07B"/>
      </patternFill>
    </fill>
    <fill>
      <patternFill patternType="solid">
        <bgColor rgb="FF90CA7D"/>
      </patternFill>
    </fill>
    <fill>
      <patternFill patternType="solid">
        <bgColor rgb="FF92CB7D"/>
      </patternFill>
    </fill>
    <fill>
      <patternFill patternType="solid">
        <bgColor rgb="FF9ECF7E"/>
      </patternFill>
    </fill>
    <fill>
      <patternFill patternType="solid">
        <bgColor rgb="FFA1D07E"/>
      </patternFill>
    </fill>
    <fill>
      <patternFill patternType="solid">
        <bgColor rgb="FFB1D47F"/>
      </patternFill>
    </fill>
    <fill>
      <patternFill patternType="solid">
        <bgColor rgb="FFB7D67F"/>
      </patternFill>
    </fill>
    <fill>
      <patternFill patternType="solid">
        <bgColor rgb="FFFCC27C"/>
      </patternFill>
    </fill>
    <fill>
      <patternFill patternType="solid">
        <bgColor rgb="FFFBA777"/>
      </patternFill>
    </fill>
    <fill>
      <patternFill patternType="solid">
        <bgColor rgb="FFF98770"/>
      </patternFill>
    </fill>
    <fill>
      <patternFill patternType="solid">
        <bgColor rgb="FF6FC17B"/>
      </patternFill>
    </fill>
    <fill>
      <patternFill patternType="solid">
        <bgColor rgb="FFB9D780"/>
      </patternFill>
    </fill>
    <fill>
      <patternFill patternType="solid">
        <bgColor rgb="FFFBEA83"/>
      </patternFill>
    </fill>
    <fill>
      <patternFill patternType="solid">
        <bgColor rgb="FFFDCF7E"/>
      </patternFill>
    </fill>
    <fill>
      <patternFill patternType="solid">
        <bgColor rgb="FFFDC57C"/>
      </patternFill>
    </fill>
    <fill>
      <patternFill patternType="solid">
        <bgColor rgb="FFFCC47C"/>
      </patternFill>
    </fill>
    <fill>
      <patternFill patternType="solid">
        <bgColor rgb="FFFCC07B"/>
      </patternFill>
    </fill>
    <fill>
      <patternFill patternType="solid">
        <bgColor rgb="FFFCB379"/>
      </patternFill>
    </fill>
    <fill>
      <patternFill patternType="solid">
        <bgColor rgb="FFFBA276"/>
      </patternFill>
    </fill>
  </fills>
  <borders count="10">
    <border>
      <left/>
      <right/>
      <top/>
      <bottom/>
      <diagonal/>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diagonalUp="1" diagonalDown="1">
      <left/>
      <right/>
      <top/>
      <bottom/>
      <diagonal/>
    </border>
  </borders>
  <cellStyleXfs>
    <xf fontId="0" fillId="0" borderId="0" xfId="0" applyNumberFormat="0" applyFont="0" applyFill="0" applyBorder="0" applyAlignment="0">
      <alignment vertical="center"/>
    </xf>
  </cellStyleXfs>
  <cellXfs count="70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horizontal="center" vertical="center"/>
    </xf>
    <xf fontId="4" fillId="0" borderId="0" xfId="0">
      <alignment horizontal="center" vertical="center"/>
    </xf>
    <xf fontId="5" fillId="0" borderId="0" xfId="0">
      <alignment vertical="center"/>
    </xf>
    <xf fontId="4" fillId="0" borderId="0" xfId="0">
      <alignment vertical="center"/>
    </xf>
    <xf fontId="6" fillId="2" borderId="0" xfId="0">
      <alignment vertical="center"/>
    </xf>
    <xf fontId="6" fillId="2" borderId="0" xfId="0">
      <alignment horizontal="center" vertical="center"/>
    </xf>
    <xf fontId="7" fillId="0" borderId="0" xfId="0">
      <alignment vertical="center"/>
    </xf>
    <xf fontId="8" fillId="3" borderId="0" xfId="0">
      <alignment vertical="center"/>
    </xf>
    <xf fontId="8" fillId="3" borderId="0" xfId="0">
      <alignment horizontal="center" vertical="center"/>
    </xf>
    <xf fontId="9" fillId="0" borderId="0" xfId="0">
      <alignment vertical="center"/>
    </xf>
    <xf fontId="6" fillId="4" borderId="0" xfId="0">
      <alignment vertical="center"/>
    </xf>
    <xf fontId="6" fillId="4" borderId="0" xfId="0">
      <alignment horizontal="center" vertical="center"/>
    </xf>
    <xf fontId="6" fillId="0" borderId="0" xfId="0">
      <alignment vertical="center"/>
    </xf>
    <xf fontId="6" fillId="5" borderId="0" xfId="0">
      <alignment vertical="center"/>
    </xf>
    <xf fontId="6" fillId="5" borderId="0" xfId="0">
      <alignment horizontal="center" vertical="center"/>
    </xf>
    <xf fontId="6" fillId="6" borderId="0" xfId="0">
      <alignment vertical="center"/>
    </xf>
    <xf fontId="6" fillId="6" borderId="0" xfId="0">
      <alignment horizontal="center" vertical="center"/>
    </xf>
    <xf fontId="6" fillId="7" borderId="0" xfId="0">
      <alignment vertical="center"/>
    </xf>
    <xf fontId="6" fillId="7" borderId="0" xfId="0">
      <alignment horizontal="center" vertical="center"/>
    </xf>
    <xf fontId="8" fillId="8" borderId="0" xfId="0">
      <alignment vertical="center"/>
    </xf>
    <xf fontId="8" fillId="8" borderId="0" xfId="0">
      <alignment horizontal="center" vertical="center"/>
    </xf>
    <xf fontId="10" fillId="0" borderId="0" xfId="0">
      <alignment horizontal="right" vertical="center"/>
    </xf>
    <xf fontId="10" fillId="0" borderId="0" xfId="0">
      <alignment horizontal="center" vertical="center"/>
    </xf>
    <xf fontId="10" fillId="0" borderId="0" xfId="0">
      <alignment vertical="center"/>
    </xf>
    <xf fontId="11" fillId="0" borderId="0" xfId="0">
      <alignment vertical="center"/>
    </xf>
    <xf fontId="12" fillId="0" borderId="0" xfId="0">
      <alignment vertical="center"/>
    </xf>
    <xf fontId="6" fillId="0" borderId="0" xfId="0">
      <alignment horizontal="left" vertical="center"/>
    </xf>
    <xf fontId="6" fillId="0" borderId="0" xfId="0">
      <alignment horizontal="center" vertical="center"/>
    </xf>
    <xf fontId="13" fillId="9" borderId="1" xfId="0">
      <alignment vertical="center" wrapText="0"/>
    </xf>
    <xf fontId="4" fillId="10" borderId="2" xfId="0">
      <alignment vertical="center"/>
    </xf>
    <xf fontId="4" fillId="10" borderId="3" xfId="0">
      <alignment vertical="center"/>
    </xf>
    <xf fontId="13" fillId="9" borderId="4" xfId="0">
      <alignment vertical="center"/>
    </xf>
    <xf fontId="4" fillId="10" borderId="0" xfId="0">
      <alignment vertical="center"/>
    </xf>
    <xf fontId="4" fillId="10" borderId="5" xfId="0">
      <alignment vertical="center"/>
    </xf>
    <xf fontId="14" fillId="9" borderId="4" xfId="0">
      <alignment vertical="center"/>
    </xf>
    <xf fontId="15" fillId="9" borderId="4" xfId="0">
      <alignment vertical="center"/>
    </xf>
    <xf fontId="15" fillId="9" borderId="6" xfId="0">
      <alignment vertical="center"/>
    </xf>
    <xf fontId="4" fillId="10" borderId="7" xfId="0">
      <alignment vertical="center"/>
    </xf>
    <xf fontId="4" fillId="10" borderId="8" xfId="0">
      <alignment vertical="center"/>
    </xf>
    <xf fontId="16" fillId="0" borderId="0" xfId="0">
      <alignment horizontal="left" vertical="center"/>
    </xf>
    <xf fontId="9" fillId="0" borderId="0" xfId="0">
      <alignment horizontal="left" vertical="center"/>
    </xf>
    <xf fontId="17" fillId="0" borderId="0" xfId="0">
      <alignment vertical="center"/>
    </xf>
    <xf fontId="18" fillId="0" borderId="0" xfId="0">
      <alignment horizontal="center" vertical="center" textRotation="0" wrapText="1" indent="0" justifyLastLine="0" shrinkToFit="0"/>
    </xf>
    <xf fontId="18" fillId="0" borderId="0" xfId="0">
      <alignment horizontal="center" vertical="center" textRotation="0" indent="0" justifyLastLine="0" shrinkToFit="0"/>
    </xf>
    <xf fontId="19" fillId="0" borderId="0" xfId="0">
      <alignment horizontal="center" vertical="center" textRotation="0" wrapText="1" indent="0" justifyLastLine="0" shrinkToFit="0"/>
    </xf>
    <xf fontId="20" fillId="0" borderId="0" xfId="0">
      <alignment horizontal="center" vertical="center"/>
    </xf>
    <xf fontId="21" fillId="0" borderId="0" xfId="0">
      <alignment horizontal="center" vertical="center"/>
    </xf>
    <xf fontId="19" fillId="0" borderId="0" xfId="0">
      <alignment horizontal="center" vertical="center" textRotation="0" indent="0" justifyLastLine="0" shrinkToFit="0"/>
    </xf>
    <xf fontId="22" fillId="0" borderId="0" xfId="0">
      <alignment horizontal="center" vertical="center" textRotation="0" indent="0" justifyLastLine="0" shrinkToFit="0"/>
    </xf>
    <xf fontId="18" fillId="0" borderId="0" xfId="0">
      <alignment horizontal="center" vertical="center" textRotation="0" indent="0" justifyLastLine="0" shrinkToFit="0"/>
    </xf>
    <xf fontId="18" fillId="0" borderId="0" xfId="0">
      <alignment horizontal="left" vertical="center" textRotation="0" wrapText="1" indent="0" justifyLastLine="0" shrinkToFit="0"/>
    </xf>
    <xf fontId="18" fillId="0" borderId="0" xfId="0">
      <alignment horizontal="left" vertical="center" textRotation="0" indent="0" justifyLastLine="0" shrinkToFit="0"/>
    </xf>
    <xf fontId="19" fillId="0" borderId="0" xfId="0">
      <alignment horizontal="left" vertical="center" textRotation="0" wrapText="1" indent="0" justifyLastLine="0" shrinkToFit="0"/>
    </xf>
    <xf fontId="23" fillId="0" borderId="0" xfId="0">
      <alignment horizontal="left" vertical="center"/>
    </xf>
    <xf fontId="18" fillId="0" borderId="0" xfId="0">
      <alignment horizontal="left" vertical="center"/>
    </xf>
    <xf fontId="0" fillId="0" borderId="0" xfId="0">
      <alignment vertical="center" textRotation="0" wrapText="1" indent="0" justifyLastLine="0" shrinkToFit="0"/>
    </xf>
    <xf fontId="0" fillId="0" borderId="0" xfId="0">
      <alignment horizontal="center" vertical="center" textRotation="0" indent="0" justifyLastLine="0" shrinkToFit="0"/>
    </xf>
    <xf fontId="24" fillId="0" borderId="0" xfId="0">
      <alignment vertical="center" textRotation="0" indent="0" justifyLastLine="0" shrinkToFit="0"/>
    </xf>
    <xf fontId="0" fillId="0" borderId="0" xfId="0">
      <alignment vertical="center" textRotation="0" indent="0" justifyLastLine="0" shrinkToFit="0"/>
    </xf>
    <xf fontId="25" fillId="0" borderId="0" xfId="0">
      <alignment vertical="center" textRotation="0" indent="0" justifyLastLine="0" shrinkToFit="0"/>
    </xf>
    <xf fontId="0" fillId="11" borderId="0" xfId="0">
      <alignment vertical="center" textRotation="0" indent="0" justifyLastLine="0" shrinkToFit="0"/>
    </xf>
    <xf fontId="0" fillId="12" borderId="0" xfId="0">
      <alignment vertical="center" textRotation="0" indent="0" justifyLastLine="0" shrinkToFit="0"/>
    </xf>
    <xf fontId="20" fillId="0" borderId="0" xfId="0">
      <alignment vertical="center" textRotation="0" indent="0" justifyLastLine="0" shrinkToFit="0"/>
    </xf>
    <xf fontId="0" fillId="13" borderId="0" xfId="0">
      <alignment vertical="center" textRotation="0" indent="0" justifyLastLine="0" shrinkToFit="0"/>
    </xf>
    <xf fontId="0" fillId="0" borderId="0" xfId="0">
      <alignment vertical="center" textRotation="0" indent="0" justifyLastLine="0" shrinkToFit="0"/>
    </xf>
    <xf fontId="0" fillId="0" borderId="0" xfId="0">
      <alignment horizontal="center" vertical="center" textRotation="0" indent="0" justifyLastLine="0" shrinkToFit="0"/>
    </xf>
    <xf fontId="0" fillId="14" borderId="0" xfId="0">
      <alignment horizontal="center" vertical="center" textRotation="0" indent="0" justifyLastLine="0" shrinkToFit="0"/>
    </xf>
    <xf fontId="18" fillId="0" borderId="0" xfId="0">
      <alignment vertical="center" textRotation="0" indent="0" justifyLastLine="0" shrinkToFit="0"/>
    </xf>
    <xf fontId="26" fillId="15" borderId="0" xfId="0">
      <alignment vertical="center"/>
    </xf>
    <xf fontId="25" fillId="16" borderId="0" xfId="0">
      <alignment vertical="center" textRotation="0" indent="0" justifyLastLine="0" shrinkToFit="0"/>
    </xf>
    <xf fontId="22" fillId="0" borderId="0" xfId="0">
      <alignment vertical="center" textRotation="0" indent="0" justifyLastLine="0" shrinkToFit="0"/>
    </xf>
    <xf fontId="0" fillId="17" borderId="0" xfId="0">
      <alignment vertical="center" textRotation="0" indent="0" justifyLastLine="0" shrinkToFit="0"/>
    </xf>
    <xf fontId="0" fillId="0" borderId="0" xfId="0">
      <alignment horizontal="center" vertical="center"/>
    </xf>
    <xf fontId="27" fillId="0" borderId="0" xfId="0">
      <alignment vertical="center" textRotation="0" indent="0" justifyLastLine="0" shrinkToFit="0"/>
    </xf>
    <xf fontId="0" fillId="18" borderId="0" xfId="0">
      <alignment vertical="center" textRotation="0" indent="0" justifyLastLine="0" shrinkToFit="0"/>
    </xf>
    <xf fontId="25" fillId="18" borderId="0" xfId="0">
      <alignment vertical="center" textRotation="0" indent="0" justifyLastLine="0" shrinkToFit="0"/>
    </xf>
    <xf fontId="0" fillId="19" borderId="0" xfId="0">
      <alignment vertical="center" textRotation="0" indent="0" justifyLastLine="0" shrinkToFit="0"/>
    </xf>
    <xf fontId="22" fillId="11" borderId="0" xfId="0">
      <alignment vertical="center" textRotation="0" indent="0" justifyLastLine="0" shrinkToFit="0"/>
    </xf>
    <xf fontId="22" fillId="12" borderId="0" xfId="0">
      <alignment vertical="center" textRotation="0" indent="0" justifyLastLine="0" shrinkToFit="0"/>
    </xf>
    <xf fontId="0" fillId="20" borderId="0" xfId="0">
      <alignment vertical="center" textRotation="0" indent="0" justifyLastLine="0" shrinkToFit="0"/>
    </xf>
    <xf fontId="24" fillId="15" borderId="0" xfId="0">
      <alignment vertical="center" textRotation="0" indent="0" justifyLastLine="0" shrinkToFit="0"/>
    </xf>
    <xf fontId="24" fillId="0" borderId="0" xfId="0">
      <alignment horizontal="center" vertical="center" textRotation="0" indent="0" justifyLastLine="0" shrinkToFit="0"/>
    </xf>
    <xf fontId="22" fillId="16" borderId="0" xfId="0">
      <alignment vertical="center" textRotation="0" indent="0" justifyLastLine="0" shrinkToFit="0"/>
    </xf>
    <xf fontId="0" fillId="16" borderId="0" xfId="0">
      <alignment vertical="center" textRotation="0" indent="0" justifyLastLine="0" shrinkToFit="0"/>
    </xf>
    <xf fontId="0" fillId="21" borderId="0" xfId="0">
      <alignment vertical="center" textRotation="0" indent="0" justifyLastLine="0" shrinkToFit="0"/>
    </xf>
    <xf fontId="0" fillId="0" borderId="0" xfId="0">
      <alignment vertical="center"/>
    </xf>
    <xf fontId="0" fillId="16" borderId="0" xfId="0">
      <alignment horizontal="center" vertical="center" textRotation="0" indent="0" justifyLastLine="0" shrinkToFit="0"/>
    </xf>
    <xf fontId="0" fillId="22" borderId="0" xfId="0">
      <alignment vertical="center" textRotation="0" indent="0" justifyLastLine="0" shrinkToFit="0"/>
    </xf>
    <xf fontId="0" fillId="23" borderId="0" xfId="0">
      <alignment vertical="center" textRotation="0" indent="0" justifyLastLine="0" shrinkToFit="0"/>
    </xf>
    <xf fontId="0" fillId="24" borderId="0" xfId="0">
      <alignment vertical="center" textRotation="0" indent="0" justifyLastLine="0" shrinkToFit="0"/>
    </xf>
    <xf fontId="0" fillId="25" borderId="0" xfId="0">
      <alignment vertical="center" textRotation="0" indent="0" justifyLastLine="0" shrinkToFit="0"/>
    </xf>
    <xf fontId="0" fillId="26" borderId="0" xfId="0">
      <alignment vertical="center" textRotation="0" indent="0" justifyLastLine="0" shrinkToFit="0"/>
    </xf>
    <xf fontId="0" fillId="27" borderId="0" xfId="0">
      <alignment vertical="center" textRotation="0" indent="0" justifyLastLine="0" shrinkToFit="0"/>
    </xf>
    <xf fontId="0" fillId="28" borderId="0" xfId="0">
      <alignment vertical="center" textRotation="0" indent="0" justifyLastLine="0" shrinkToFit="0"/>
    </xf>
    <xf fontId="22" fillId="16" borderId="0" xfId="0">
      <alignment vertical="center" textRotation="0" indent="0" justifyLastLine="0" shrinkToFit="0"/>
    </xf>
    <xf fontId="0" fillId="29" borderId="0" xfId="0">
      <alignment vertical="center" textRotation="0" indent="0" justifyLastLine="0" shrinkToFit="0"/>
    </xf>
    <xf fontId="28" fillId="0" borderId="0" xfId="0">
      <alignment vertical="center" textRotation="0" indent="0" justifyLastLine="0" shrinkToFit="0"/>
    </xf>
    <xf fontId="22" fillId="0" borderId="0" xfId="0">
      <alignment vertical="center" textRotation="0" indent="0" justifyLastLine="0" shrinkToFit="0"/>
    </xf>
    <xf fontId="0" fillId="30" borderId="0" xfId="0">
      <alignment vertical="center" textRotation="0" indent="0" justifyLastLine="0" shrinkToFit="0"/>
    </xf>
    <xf fontId="22" fillId="0" borderId="0" xfId="0">
      <alignment horizontal="center" vertical="center" textRotation="0" indent="0" justifyLastLine="0" shrinkToFit="0"/>
    </xf>
    <xf fontId="0" fillId="31" borderId="0" xfId="0">
      <alignment vertical="center" textRotation="0" indent="0" justifyLastLine="0" shrinkToFit="0"/>
    </xf>
    <xf fontId="28" fillId="0" borderId="0" xfId="0">
      <alignment horizontal="center" vertical="center" textRotation="0" indent="0" justifyLastLine="0" shrinkToFit="0"/>
    </xf>
    <xf fontId="0" fillId="32" borderId="0" xfId="0">
      <alignment vertical="center" textRotation="0" indent="0" justifyLastLine="0" shrinkToFit="0"/>
    </xf>
    <xf fontId="29" fillId="0" borderId="0" xfId="0">
      <alignment vertical="center" textRotation="0" indent="0" justifyLastLine="0" shrinkToFit="0"/>
    </xf>
    <xf fontId="0" fillId="33" borderId="0" xfId="0">
      <alignment vertical="center" textRotation="0" indent="0" justifyLastLine="0" shrinkToFit="0"/>
    </xf>
    <xf fontId="0" fillId="34" borderId="0" xfId="0">
      <alignment vertical="center" textRotation="0" indent="0" justifyLastLine="0" shrinkToFit="0"/>
    </xf>
    <xf fontId="0" fillId="35" borderId="0" xfId="0">
      <alignment vertical="center" textRotation="0" indent="0" justifyLastLine="0" shrinkToFit="0"/>
    </xf>
    <xf fontId="0" fillId="36" borderId="0" xfId="0">
      <alignment vertical="center" textRotation="0" indent="0" justifyLastLine="0" shrinkToFit="0"/>
    </xf>
    <xf fontId="28" fillId="16" borderId="0" xfId="0">
      <alignment vertical="center" textRotation="0" indent="0" justifyLastLine="0" shrinkToFit="0"/>
    </xf>
    <xf fontId="0" fillId="37" borderId="0" xfId="0">
      <alignment vertical="center" textRotation="0" indent="0" justifyLastLine="0" shrinkToFit="0"/>
    </xf>
    <xf fontId="0" fillId="38" borderId="0" xfId="0">
      <alignment vertical="center" textRotation="0" indent="0" justifyLastLine="0" shrinkToFit="0"/>
    </xf>
    <xf fontId="0" fillId="39" borderId="0" xfId="0">
      <alignment vertical="center" textRotation="0" indent="0" justifyLastLine="0" shrinkToFit="0"/>
    </xf>
    <xf fontId="27" fillId="16" borderId="0" xfId="0">
      <alignment vertical="center" textRotation="0" indent="0" justifyLastLine="0" shrinkToFit="0"/>
    </xf>
    <xf fontId="0" fillId="40" borderId="0" xfId="0">
      <alignment vertical="center" textRotation="0" indent="0" justifyLastLine="0" shrinkToFit="0"/>
    </xf>
    <xf fontId="30" fillId="41" borderId="0" xfId="0">
      <alignment vertical="center" textRotation="0" indent="0" justifyLastLine="0" shrinkToFit="0"/>
    </xf>
    <xf fontId="30" fillId="42" borderId="0" xfId="0">
      <alignment vertical="center" textRotation="0" indent="0" justifyLastLine="0" shrinkToFit="0"/>
    </xf>
    <xf fontId="0" fillId="43" borderId="0" xfId="0">
      <alignment vertical="center" textRotation="0" indent="0" justifyLastLine="0" shrinkToFit="0"/>
    </xf>
    <xf fontId="0" fillId="44" borderId="0" xfId="0">
      <alignment vertical="center" textRotation="0" indent="0" justifyLastLine="0" shrinkToFit="0"/>
    </xf>
    <xf fontId="0" fillId="45" borderId="0" xfId="0">
      <alignment vertical="center" textRotation="0" indent="0" justifyLastLine="0" shrinkToFit="0"/>
    </xf>
    <xf fontId="31" fillId="0" borderId="0" xfId="0">
      <alignment vertical="center" textRotation="0" indent="0" justifyLastLine="0" shrinkToFit="0"/>
    </xf>
    <xf fontId="0" fillId="46" borderId="0" xfId="0">
      <alignment vertical="center" textRotation="0" indent="0" justifyLastLine="0" shrinkToFit="0"/>
    </xf>
    <xf fontId="28" fillId="15" borderId="0" xfId="0">
      <alignment vertical="center" textRotation="0" indent="0" justifyLastLine="0" shrinkToFit="0"/>
    </xf>
    <xf fontId="22" fillId="16" borderId="0" xfId="0">
      <alignment vertical="center"/>
    </xf>
    <xf fontId="0" fillId="0" borderId="0" xfId="0">
      <alignment vertical="center"/>
    </xf>
    <xf fontId="0" fillId="47" borderId="0" xfId="0">
      <alignment vertical="center" textRotation="0" indent="0" justifyLastLine="0" shrinkToFit="0"/>
    </xf>
    <xf fontId="0" fillId="48" borderId="0" xfId="0">
      <alignment vertical="center" textRotation="0" indent="0" justifyLastLine="0" shrinkToFit="0"/>
    </xf>
    <xf fontId="22" fillId="0" borderId="0" xfId="0">
      <alignment vertical="center"/>
    </xf>
    <xf fontId="22" fillId="0" borderId="0" xfId="0">
      <alignment vertical="center"/>
    </xf>
    <xf fontId="0" fillId="49" borderId="0" xfId="0">
      <alignment vertical="center" textRotation="0" indent="0" justifyLastLine="0" shrinkToFit="0"/>
    </xf>
    <xf fontId="0" fillId="50" borderId="0" xfId="0">
      <alignment vertical="center" textRotation="0" indent="0" justifyLastLine="0" shrinkToFit="0"/>
    </xf>
    <xf fontId="22" fillId="0" borderId="9" xfId="0">
      <alignment vertical="center" textRotation="0" indent="0" justifyLastLine="0" shrinkToFit="0"/>
    </xf>
    <xf fontId="0" fillId="51" borderId="0" xfId="0">
      <alignment vertical="center" textRotation="0" indent="0" justifyLastLine="0" shrinkToFit="0"/>
    </xf>
    <xf fontId="22" fillId="16" borderId="0" xfId="0">
      <alignment vertical="center"/>
    </xf>
    <xf fontId="0" fillId="16" borderId="0" xfId="0">
      <alignment vertical="center"/>
    </xf>
    <xf fontId="20" fillId="52" borderId="0" xfId="0">
      <alignment vertical="center" textRotation="0" indent="0" justifyLastLine="0" shrinkToFit="0"/>
    </xf>
    <xf fontId="32" fillId="53" borderId="0" xfId="0">
      <alignment vertical="center" textRotation="0" indent="0" justifyLastLine="0" shrinkToFit="0"/>
    </xf>
    <xf fontId="0" fillId="54" borderId="0" xfId="0">
      <alignment vertical="center" textRotation="0" indent="0" justifyLastLine="0" shrinkToFit="0"/>
    </xf>
    <xf fontId="0" fillId="55" borderId="0" xfId="0">
      <alignment horizontal="center" vertical="center"/>
    </xf>
    <xf fontId="0" fillId="56" borderId="0" xfId="0">
      <alignment vertical="center" textRotation="0" indent="0" justifyLastLine="0" shrinkToFit="0"/>
    </xf>
    <xf fontId="0" fillId="57" borderId="0" xfId="0">
      <alignment vertical="center" textRotation="0" indent="0" justifyLastLine="0" shrinkToFit="0"/>
    </xf>
    <xf fontId="33" fillId="0" borderId="0" xfId="0">
      <alignment vertical="center"/>
    </xf>
    <xf fontId="33" fillId="0" borderId="0" xfId="0">
      <alignment horizontal="center" vertical="center"/>
    </xf>
    <xf fontId="0" fillId="58" borderId="0" xfId="0">
      <alignment vertical="center" textRotation="0" indent="0" justifyLastLine="0" shrinkToFit="0"/>
    </xf>
    <xf fontId="0" fillId="59" borderId="0" xfId="0">
      <alignment vertical="center" textRotation="0" indent="0" justifyLastLine="0" shrinkToFit="0"/>
    </xf>
    <xf fontId="0" fillId="16" borderId="0" xfId="0">
      <alignment vertical="center" textRotation="0" indent="0" justifyLastLine="0" shrinkToFit="0"/>
    </xf>
    <xf fontId="0" fillId="60" borderId="0" xfId="0">
      <alignment vertical="center" textRotation="0" indent="0" justifyLastLine="0" shrinkToFit="0"/>
    </xf>
    <xf fontId="0" fillId="61" borderId="0" xfId="0">
      <alignment vertical="center" textRotation="0" indent="0" justifyLastLine="0" shrinkToFit="0"/>
    </xf>
    <xf fontId="0" fillId="62" borderId="0" xfId="0">
      <alignment vertical="center" textRotation="0" indent="0" justifyLastLine="0" shrinkToFit="0"/>
    </xf>
    <xf fontId="0" fillId="15" borderId="0" xfId="0">
      <alignment vertical="center" textRotation="0" indent="0" justifyLastLine="0" shrinkToFit="0"/>
    </xf>
    <xf fontId="0" fillId="63" borderId="0" xfId="0">
      <alignment vertical="center" textRotation="0" indent="0" justifyLastLine="0" shrinkToFit="0"/>
    </xf>
    <xf fontId="0" fillId="64" borderId="0" xfId="0">
      <alignment vertical="center" textRotation="0" indent="0" justifyLastLine="0" shrinkToFit="0"/>
    </xf>
    <xf fontId="0" fillId="65" borderId="0" xfId="0">
      <alignment vertical="center" textRotation="0" indent="0" justifyLastLine="0" shrinkToFit="0"/>
    </xf>
    <xf fontId="34" fillId="53" borderId="0" xfId="0">
      <alignment vertical="center" textRotation="0" wrapText="1" indent="0" justifyLastLine="0" shrinkToFit="0"/>
    </xf>
    <xf fontId="0" fillId="66" borderId="0" xfId="0">
      <alignment vertical="center" textRotation="0" indent="0" justifyLastLine="0" shrinkToFit="0"/>
    </xf>
    <xf fontId="0" fillId="67" borderId="0" xfId="0">
      <alignment vertical="center" textRotation="0" indent="0" justifyLastLine="0" shrinkToFit="0"/>
    </xf>
    <xf fontId="0" fillId="68" borderId="0" xfId="0">
      <alignment vertical="center" textRotation="0" indent="0" justifyLastLine="0" shrinkToFit="0"/>
    </xf>
    <xf fontId="0" fillId="69" borderId="0" xfId="0">
      <alignment vertical="center" textRotation="0" indent="0" justifyLastLine="0" shrinkToFit="0"/>
    </xf>
    <xf fontId="0" fillId="70" borderId="0" xfId="0">
      <alignment vertical="center"/>
    </xf>
    <xf fontId="0" fillId="71" borderId="0" xfId="0">
      <alignment vertical="center" textRotation="0" indent="0" justifyLastLine="0" shrinkToFit="0"/>
    </xf>
    <xf fontId="0" fillId="72" borderId="0" xfId="0">
      <alignment vertical="center" textRotation="0" indent="0" justifyLastLine="0" shrinkToFit="0"/>
    </xf>
    <xf fontId="20" fillId="0" borderId="0" xfId="0">
      <alignment vertical="center"/>
    </xf>
    <xf fontId="0" fillId="73" borderId="0" xfId="0">
      <alignment vertical="center" textRotation="0" indent="0" justifyLastLine="0" shrinkToFit="0"/>
    </xf>
    <xf fontId="0" fillId="74" borderId="0" xfId="0">
      <alignment vertical="center" textRotation="0" indent="0" justifyLastLine="0" shrinkToFit="0"/>
    </xf>
    <xf fontId="0" fillId="75" borderId="0" xfId="0">
      <alignment vertical="center" textRotation="0" indent="0" justifyLastLine="0" shrinkToFit="0"/>
    </xf>
    <xf fontId="24" fillId="16" borderId="0" xfId="0">
      <alignment vertical="center" textRotation="0" indent="0" justifyLastLine="0" shrinkToFit="0"/>
    </xf>
    <xf fontId="0" fillId="76" borderId="0" xfId="0">
      <alignment vertical="center" textRotation="0" indent="0" justifyLastLine="0" shrinkToFit="0"/>
    </xf>
    <xf fontId="0" fillId="77" borderId="0" xfId="0">
      <alignment vertical="center" textRotation="0" indent="0" justifyLastLine="0" shrinkToFit="0"/>
    </xf>
    <xf fontId="20" fillId="0" borderId="0" xfId="0">
      <alignment vertical="center" textRotation="0"/>
    </xf>
    <xf fontId="22" fillId="67" borderId="0" xfId="0">
      <alignment vertical="center" textRotation="0" indent="0" justifyLastLine="0" shrinkToFit="0"/>
    </xf>
    <xf fontId="22" fillId="68" borderId="0" xfId="0">
      <alignment vertical="center" textRotation="0" indent="0" justifyLastLine="0" shrinkToFit="0"/>
    </xf>
    <xf fontId="0" fillId="78" borderId="0" xfId="0">
      <alignment vertical="center" textRotation="0" indent="0" justifyLastLine="0" shrinkToFit="0"/>
    </xf>
    <xf fontId="0" fillId="79" borderId="0" xfId="0">
      <alignment vertical="center" textRotation="0" indent="0" justifyLastLine="0" shrinkToFit="0"/>
    </xf>
    <xf fontId="0" fillId="80" borderId="0" xfId="0">
      <alignment vertical="center" textRotation="0" indent="0" justifyLastLine="0" shrinkToFit="0"/>
    </xf>
    <xf fontId="0" fillId="81" borderId="0" xfId="0">
      <alignment vertical="center" textRotation="0" indent="0" justifyLastLine="0" shrinkToFit="0"/>
    </xf>
    <xf fontId="0" fillId="82" borderId="0" xfId="0">
      <alignment vertical="center" textRotation="0" indent="0" justifyLastLine="0" shrinkToFit="0"/>
    </xf>
    <xf fontId="0" fillId="83" borderId="0" xfId="0">
      <alignment vertical="center" textRotation="0" indent="0" justifyLastLine="0" shrinkToFit="0"/>
    </xf>
    <xf fontId="28" fillId="0" borderId="0" xfId="0">
      <alignment horizontal="center" vertical="center"/>
    </xf>
    <xf fontId="0" fillId="84" borderId="0" xfId="0">
      <alignment vertical="center" textRotation="0" indent="0" justifyLastLine="0" shrinkToFit="0"/>
    </xf>
    <xf fontId="22" fillId="85" borderId="0" xfId="0">
      <alignment vertical="center" textRotation="0" indent="0" justifyLastLine="0" shrinkToFit="0"/>
    </xf>
    <xf fontId="22" fillId="55" borderId="0" xfId="0">
      <alignment vertical="center" textRotation="0" indent="0" justifyLastLine="0" shrinkToFit="0"/>
    </xf>
    <xf fontId="0" fillId="86" borderId="0" xfId="0">
      <alignment vertical="center" textRotation="0" indent="0" justifyLastLine="0" shrinkToFit="0"/>
    </xf>
    <xf fontId="0" fillId="87" borderId="0" xfId="0">
      <alignment vertical="center" textRotation="0" indent="0" justifyLastLine="0" shrinkToFit="0"/>
    </xf>
    <xf fontId="0" fillId="88" borderId="0" xfId="0">
      <alignment vertical="center" textRotation="0" indent="0" justifyLastLine="0" shrinkToFit="0"/>
    </xf>
    <xf fontId="0" fillId="89" borderId="0" xfId="0">
      <alignment vertical="center" textRotation="0" indent="0" justifyLastLine="0" shrinkToFit="0"/>
    </xf>
    <xf fontId="28" fillId="0" borderId="0" xfId="0">
      <alignment vertical="center"/>
    </xf>
    <xf fontId="0" fillId="90" borderId="0" xfId="0">
      <alignment vertical="center" textRotation="0" indent="0" justifyLastLine="0" shrinkToFit="0"/>
    </xf>
    <xf fontId="33" fillId="0" borderId="0" xfId="0">
      <alignment vertical="center" textRotation="0" indent="0" justifyLastLine="0" shrinkToFit="0"/>
    </xf>
    <xf fontId="0" fillId="0" borderId="9" xfId="0">
      <alignment vertical="center" textRotation="0" wrapText="1" indent="0" justifyLastLine="0" shrinkToFit="0"/>
    </xf>
    <xf fontId="20" fillId="0" borderId="0" xfId="0">
      <alignment vertical="center"/>
    </xf>
    <xf fontId="22" fillId="0" borderId="0" xfId="0">
      <alignment vertical="center" textRotation="0" indent="0" justifyLastLine="0" shrinkToFit="0"/>
    </xf>
    <xf fontId="0" fillId="91" borderId="0" xfId="0">
      <alignment vertical="center" textRotation="0" indent="0" justifyLastLine="0" shrinkToFit="0"/>
    </xf>
    <xf fontId="0" fillId="92" borderId="0" xfId="0">
      <alignment vertical="center" textRotation="0" indent="0" justifyLastLine="0" shrinkToFit="0"/>
    </xf>
    <xf fontId="0" fillId="93" borderId="0" xfId="0">
      <alignment vertical="center" textRotation="0" indent="0" justifyLastLine="0" shrinkToFit="0"/>
    </xf>
    <xf fontId="0" fillId="94" borderId="0" xfId="0">
      <alignment vertical="center" textRotation="0" indent="0" justifyLastLine="0" shrinkToFit="0"/>
    </xf>
    <xf fontId="30" fillId="95" borderId="0" xfId="0">
      <alignment horizontal="center" vertical="center" textRotation="0" indent="0" justifyLastLine="0" shrinkToFit="0"/>
    </xf>
    <xf fontId="0" fillId="96" borderId="0" xfId="0">
      <alignment vertical="center" textRotation="0" indent="0" justifyLastLine="0" shrinkToFit="0"/>
    </xf>
    <xf fontId="0" fillId="97" borderId="0" xfId="0">
      <alignment vertical="center" textRotation="0" indent="0" justifyLastLine="0" shrinkToFit="0"/>
    </xf>
    <xf fontId="0" fillId="98" borderId="0" xfId="0">
      <alignment vertical="center" textRotation="0" indent="0" justifyLastLine="0" shrinkToFit="0"/>
    </xf>
    <xf fontId="33" fillId="0" borderId="0" xfId="0">
      <alignment horizontal="center" vertical="center" textRotation="0" indent="0" justifyLastLine="0" shrinkToFit="0"/>
    </xf>
    <xf fontId="0" fillId="99" borderId="0" xfId="0">
      <alignment vertical="center" textRotation="0" indent="0" justifyLastLine="0" shrinkToFit="0"/>
    </xf>
    <xf fontId="22" fillId="100" borderId="0" xfId="0">
      <alignment vertical="center" textRotation="0" indent="0" justifyLastLine="0" shrinkToFit="0"/>
    </xf>
    <xf fontId="0" fillId="101" borderId="0" xfId="0">
      <alignment vertical="center" textRotation="0" indent="0" justifyLastLine="0" shrinkToFit="0"/>
    </xf>
    <xf fontId="0" fillId="102" borderId="0" xfId="0">
      <alignment vertical="center" textRotation="0" indent="0" justifyLastLine="0" shrinkToFit="0"/>
    </xf>
    <xf fontId="0" fillId="103" borderId="0" xfId="0">
      <alignment vertical="center" textRotation="0" indent="0" justifyLastLine="0" shrinkToFit="0"/>
    </xf>
    <xf fontId="22" fillId="0" borderId="0" xfId="0">
      <alignment horizontal="center" vertical="center"/>
    </xf>
    <xf fontId="0" fillId="104" borderId="0" xfId="0">
      <alignment vertical="center" textRotation="0" indent="0" justifyLastLine="0" shrinkToFit="0"/>
    </xf>
    <xf fontId="0" fillId="105" borderId="0" xfId="0">
      <alignment vertical="center" textRotation="0" indent="0" justifyLastLine="0" shrinkToFit="0"/>
    </xf>
    <xf fontId="0" fillId="106" borderId="0" xfId="0">
      <alignment vertical="center" textRotation="0" indent="0" justifyLastLine="0" shrinkToFit="0"/>
    </xf>
    <xf fontId="0" fillId="107" borderId="0" xfId="0">
      <alignment vertical="center" textRotation="0" indent="0" justifyLastLine="0" shrinkToFit="0"/>
    </xf>
    <xf fontId="24" fillId="0" borderId="0" xfId="0">
      <alignment vertical="center" textRotation="0" indent="0" justifyLastLine="0" shrinkToFit="0"/>
    </xf>
    <xf fontId="22" fillId="15" borderId="0" xfId="0">
      <alignment vertical="center" textRotation="0" indent="0" justifyLastLine="0" shrinkToFit="0"/>
    </xf>
    <xf fontId="0" fillId="0" borderId="0" xfId="0">
      <alignment vertical="center" textRotation="0" indent="0" justifyLastLine="0" shrinkToFit="0"/>
    </xf>
    <xf fontId="0" fillId="108" borderId="0" xfId="0">
      <alignment vertical="center" textRotation="0" indent="0" justifyLastLine="0" shrinkToFit="0"/>
    </xf>
    <xf fontId="0" fillId="109" borderId="0" xfId="0">
      <alignment vertical="center" textRotation="0" indent="0" justifyLastLine="0" shrinkToFit="0"/>
    </xf>
    <xf fontId="0" fillId="110" borderId="0" xfId="0">
      <alignment vertical="center" textRotation="0" indent="0" justifyLastLine="0" shrinkToFit="0"/>
    </xf>
    <xf fontId="22" fillId="111" borderId="0" xfId="0">
      <alignment vertical="center" textRotation="0" indent="0" justifyLastLine="0" shrinkToFit="0"/>
    </xf>
    <xf fontId="0" fillId="112" borderId="0" xfId="0">
      <alignment vertical="center" textRotation="0" indent="0" justifyLastLine="0" shrinkToFit="0"/>
    </xf>
    <xf fontId="0" fillId="113" borderId="0" xfId="0">
      <alignment vertical="center" textRotation="0" indent="0" justifyLastLine="0" shrinkToFit="0"/>
    </xf>
    <xf fontId="0" fillId="114" borderId="0" xfId="0">
      <alignment vertical="center" textRotation="0" indent="0" justifyLastLine="0" shrinkToFit="0"/>
    </xf>
    <xf fontId="20" fillId="0" borderId="0" xfId="0">
      <alignment vertical="center" textRotation="0" indent="0" justifyLastLine="0" shrinkToFit="0"/>
    </xf>
    <xf fontId="0" fillId="115" borderId="0" xfId="0">
      <alignment vertical="center" textRotation="0" indent="0" justifyLastLine="0" shrinkToFit="0"/>
    </xf>
    <xf fontId="0" fillId="116" borderId="0" xfId="0">
      <alignment vertical="center" textRotation="0" indent="0" justifyLastLine="0" shrinkToFit="0"/>
    </xf>
    <xf fontId="0" fillId="117" borderId="0" xfId="0">
      <alignment vertical="center" textRotation="0" indent="0" justifyLastLine="0" shrinkToFit="0"/>
    </xf>
    <xf fontId="0" fillId="118" borderId="0" xfId="0">
      <alignment vertical="center" textRotation="0" indent="0" justifyLastLine="0" shrinkToFit="0"/>
    </xf>
    <xf fontId="0" fillId="119" borderId="0" xfId="0">
      <alignment vertical="center" textRotation="0" indent="0" justifyLastLine="0" shrinkToFit="0"/>
    </xf>
    <xf fontId="0" fillId="120" borderId="0" xfId="0">
      <alignment vertical="center" textRotation="0" indent="0" justifyLastLine="0" shrinkToFit="0"/>
    </xf>
    <xf fontId="0" fillId="121" borderId="0" xfId="0">
      <alignment vertical="center" textRotation="0" indent="0" justifyLastLine="0" shrinkToFit="0"/>
    </xf>
    <xf fontId="0" fillId="0" borderId="0" xfId="0">
      <alignment vertical="center" textRotation="0" wrapText="1" indent="0" justifyLastLine="0" shrinkToFit="0"/>
    </xf>
    <xf fontId="22" fillId="111" borderId="0" xfId="0">
      <alignment vertical="center" textRotation="0" indent="0" justifyLastLine="0" shrinkToFit="0"/>
    </xf>
    <xf fontId="20" fillId="0" borderId="0" xfId="0">
      <alignment vertical="center"/>
    </xf>
    <xf fontId="22" fillId="0" borderId="0" xfId="0">
      <alignment vertical="center" textRotation="0" indent="0" justifyLastLine="0" shrinkToFit="0"/>
    </xf>
    <xf fontId="0" fillId="64" borderId="0" xfId="0">
      <alignment vertical="center" textRotation="0" indent="0" justifyLastLine="0" shrinkToFit="0"/>
    </xf>
    <xf fontId="35" fillId="0" borderId="0" xfId="0">
      <alignment vertical="center" textRotation="0" indent="0" justifyLastLine="0" shrinkToFit="0"/>
    </xf>
    <xf fontId="0" fillId="122" borderId="0" xfId="0">
      <alignment vertical="center" textRotation="0" indent="0" justifyLastLine="0" shrinkToFit="0"/>
    </xf>
    <xf fontId="0" fillId="16" borderId="0" xfId="0">
      <alignment horizontal="center" vertical="center" textRotation="0" indent="0" justifyLastLine="0" shrinkToFit="0"/>
    </xf>
    <xf fontId="27" fillId="0" borderId="0" xfId="0">
      <alignment vertical="center" textRotation="0" indent="0" justifyLastLine="0" shrinkToFit="0"/>
    </xf>
    <xf fontId="0" fillId="39" borderId="0" xfId="0">
      <alignment vertical="center" textRotation="0" indent="0" justifyLastLine="0" shrinkToFit="0"/>
    </xf>
    <xf fontId="0" fillId="0" borderId="0" xfId="0">
      <alignment vertical="center" textRotation="0" indent="0" justifyLastLine="0" shrinkToFit="0"/>
    </xf>
    <xf fontId="0" fillId="123" borderId="0" xfId="0">
      <alignment vertical="center" textRotation="0" indent="0" justifyLastLine="0" shrinkToFit="0"/>
    </xf>
    <xf fontId="0" fillId="124" borderId="0" xfId="0">
      <alignment vertical="center" textRotation="0" indent="0" justifyLastLine="0" shrinkToFit="0"/>
    </xf>
    <xf fontId="18" fillId="0" borderId="0" xfId="0">
      <alignment vertical="center" textRotation="0" indent="0" justifyLastLine="0" shrinkToFit="0"/>
    </xf>
    <xf fontId="20" fillId="0" borderId="0" xfId="0">
      <alignment vertical="center" textRotation="0" indent="0" justifyLastLine="0" shrinkToFit="0"/>
    </xf>
    <xf fontId="0" fillId="125" borderId="0" xfId="0">
      <alignment vertical="center" textRotation="0" indent="0" justifyLastLine="0" shrinkToFit="0"/>
    </xf>
    <xf fontId="30" fillId="126" borderId="0" xfId="0">
      <alignment vertical="center" textRotation="0" indent="0" justifyLastLine="0" shrinkToFit="0"/>
    </xf>
    <xf fontId="0" fillId="127" borderId="0" xfId="0">
      <alignment vertical="center" textRotation="0" indent="0" justifyLastLine="0" shrinkToFit="0"/>
    </xf>
    <xf fontId="0" fillId="87" borderId="0" xfId="0">
      <alignment vertical="center" textRotation="0" indent="0" justifyLastLine="0" shrinkToFit="0"/>
    </xf>
    <xf fontId="0" fillId="72" borderId="0" xfId="0">
      <alignment vertical="center" textRotation="0" indent="0" justifyLastLine="0" shrinkToFit="0"/>
    </xf>
    <xf fontId="0" fillId="55" borderId="0" xfId="0">
      <alignment horizontal="center" vertical="center"/>
    </xf>
    <xf fontId="0" fillId="45" borderId="0" xfId="0">
      <alignment vertical="center" textRotation="0" indent="0" justifyLastLine="0" shrinkToFit="0"/>
    </xf>
    <xf fontId="29" fillId="0" borderId="0" xfId="0">
      <alignment vertical="center" textRotation="0" indent="0" justifyLastLine="0" shrinkToFit="0"/>
    </xf>
    <xf fontId="0" fillId="105" borderId="0" xfId="0">
      <alignment vertical="center" textRotation="0" indent="0" justifyLastLine="0" shrinkToFit="0"/>
    </xf>
    <xf fontId="0" fillId="89" borderId="0" xfId="0">
      <alignment vertical="center" textRotation="0" indent="0" justifyLastLine="0" shrinkToFit="0"/>
    </xf>
    <xf fontId="0" fillId="47" borderId="0" xfId="0">
      <alignment vertical="center" textRotation="0" indent="0" justifyLastLine="0" shrinkToFit="0"/>
    </xf>
    <xf fontId="0" fillId="20" borderId="0" xfId="0">
      <alignment vertical="center" textRotation="0" indent="0" justifyLastLine="0" shrinkToFit="0"/>
    </xf>
    <xf fontId="0" fillId="49" borderId="0" xfId="0">
      <alignment vertical="center" textRotation="0" indent="0" justifyLastLine="0" shrinkToFit="0"/>
    </xf>
    <xf fontId="0" fillId="51" borderId="0" xfId="0">
      <alignment vertical="center" textRotation="0" indent="0" justifyLastLine="0" shrinkToFit="0"/>
    </xf>
    <xf fontId="0" fillId="14" borderId="0" xfId="0">
      <alignment horizontal="center" vertical="center" textRotation="0" indent="0" justifyLastLine="0" shrinkToFit="0"/>
    </xf>
    <xf fontId="0" fillId="23" borderId="0" xfId="0">
      <alignment vertical="center" textRotation="0" indent="0" justifyLastLine="0" shrinkToFit="0"/>
    </xf>
    <xf fontId="0" fillId="128" borderId="0" xfId="0">
      <alignment vertical="center" textRotation="0" indent="0" justifyLastLine="0" shrinkToFit="0"/>
    </xf>
    <xf fontId="36" fillId="0" borderId="0" xfId="0">
      <alignment vertical="center" textRotation="0" indent="0" justifyLastLine="0" shrinkToFit="0"/>
    </xf>
    <xf fontId="0" fillId="24" borderId="0" xfId="0">
      <alignment vertical="center" textRotation="0" indent="0" justifyLastLine="0" shrinkToFit="0"/>
    </xf>
    <xf fontId="0" fillId="91" borderId="0" xfId="0">
      <alignment vertical="center" textRotation="0" indent="0" justifyLastLine="0" shrinkToFit="0"/>
    </xf>
    <xf fontId="0" fillId="76" borderId="0" xfId="0">
      <alignment vertical="center" textRotation="0" indent="0" justifyLastLine="0" shrinkToFit="0"/>
    </xf>
    <xf fontId="0" fillId="114" borderId="0" xfId="0">
      <alignment vertical="center" textRotation="0" indent="0" justifyLastLine="0" shrinkToFit="0"/>
    </xf>
    <xf fontId="0" fillId="92" borderId="0" xfId="0">
      <alignment vertical="center" textRotation="0" indent="0" justifyLastLine="0" shrinkToFit="0"/>
    </xf>
    <xf fontId="0" fillId="77" borderId="0" xfId="0">
      <alignment vertical="center" textRotation="0" indent="0" justifyLastLine="0" shrinkToFit="0"/>
    </xf>
    <xf fontId="0" fillId="93" borderId="0" xfId="0">
      <alignment vertical="center" textRotation="0" indent="0" justifyLastLine="0" shrinkToFit="0"/>
    </xf>
    <xf fontId="0" fillId="31" borderId="0" xfId="0">
      <alignment vertical="center" textRotation="0" indent="0" justifyLastLine="0" shrinkToFit="0"/>
    </xf>
    <xf fontId="0" fillId="94" borderId="0" xfId="0">
      <alignment vertical="center" textRotation="0" indent="0" justifyLastLine="0" shrinkToFit="0"/>
    </xf>
    <xf fontId="0" fillId="96" borderId="0" xfId="0">
      <alignment vertical="center" textRotation="0" indent="0" justifyLastLine="0" shrinkToFit="0"/>
    </xf>
    <xf fontId="0" fillId="108" borderId="0" xfId="0">
      <alignment vertical="center" textRotation="0" indent="0" justifyLastLine="0" shrinkToFit="0"/>
    </xf>
    <xf fontId="0" fillId="62" borderId="0" xfId="0">
      <alignment vertical="center" textRotation="0" indent="0" justifyLastLine="0" shrinkToFit="0"/>
    </xf>
    <xf fontId="18" fillId="0" borderId="0" xfId="0">
      <alignment vertical="center"/>
    </xf>
    <xf numFmtId="49" fontId="18" fillId="0" borderId="0" xfId="0">
      <alignment horizontal="left" vertical="center" textRotation="0" indent="0" justifyLastLine="0" shrinkToFit="0"/>
    </xf>
    <xf fontId="18" fillId="0" borderId="0" xfId="0">
      <alignment vertical="center" textRotation="0" wrapText="0" indent="0" justifyLastLine="0" shrinkToFit="0"/>
    </xf>
    <xf numFmtId="72" fontId="0" fillId="0" borderId="0" xfId="0">
      <alignment horizontal="right" vertical="center" textRotation="0" indent="0" justifyLastLine="0" shrinkToFit="0"/>
    </xf>
    <xf numFmtId="49" fontId="0" fillId="0" borderId="0" xfId="0">
      <alignment horizontal="left" vertical="center" textRotation="0" indent="0" justifyLastLine="0" shrinkToFit="0"/>
    </xf>
    <xf fontId="0" fillId="0" borderId="0" xfId="0">
      <alignment vertical="center" textRotation="0" wrapText="0" justifyLastLine="0" shrinkToFit="0"/>
    </xf>
    <xf fontId="30" fillId="126" borderId="0" xfId="0">
      <alignment vertical="center" textRotation="0" indent="0" justifyLastLine="0" shrinkToFit="0"/>
    </xf>
    <xf fontId="0" fillId="0" borderId="0" xfId="0">
      <alignment vertical="center" textRotation="0" wrapText="0" indent="0" justifyLastLine="0" shrinkToFit="0"/>
    </xf>
    <xf fontId="0" fillId="111" borderId="0" xfId="0">
      <alignment vertical="center" textRotation="0" indent="0" justifyLastLine="0" shrinkToFit="0"/>
    </xf>
    <xf fontId="0" fillId="100" borderId="0" xfId="0">
      <alignment vertical="center" textRotation="0" indent="0" justifyLastLine="0" shrinkToFit="0"/>
    </xf>
    <xf fontId="0" fillId="55" borderId="0" xfId="0">
      <alignment vertical="center" textRotation="0" indent="0" justifyLastLine="0" shrinkToFit="0"/>
    </xf>
    <xf fontId="0" fillId="0" borderId="0" xfId="0">
      <alignment vertical="center" wrapText="0"/>
    </xf>
    <xf numFmtId="0" fontId="0" fillId="0" borderId="0" xfId="0">
      <alignment vertical="center"/>
    </xf>
    <xf numFmtId="49" fontId="0" fillId="0" borderId="0" xfId="0">
      <alignment vertical="center"/>
    </xf>
    <xf fontId="0" fillId="129" borderId="0" xfId="0">
      <alignment vertical="center" textRotation="0" indent="0" justifyLastLine="0" shrinkToFit="0"/>
    </xf>
    <xf fontId="0" fillId="130" borderId="0" xfId="0">
      <alignment vertical="center" textRotation="0" indent="0" justifyLastLine="0" shrinkToFit="0"/>
    </xf>
    <xf fontId="0" fillId="131" borderId="0" xfId="0">
      <alignment vertical="center" textRotation="0" indent="0" justifyLastLine="0" shrinkToFit="0"/>
    </xf>
    <xf fontId="0" fillId="132" borderId="0" xfId="0">
      <alignment vertical="center" textRotation="0" indent="0" justifyLastLine="0" shrinkToFit="0"/>
    </xf>
    <xf fontId="0" fillId="133" borderId="0" xfId="0">
      <alignment vertical="center" textRotation="0" indent="0" justifyLastLine="0" shrinkToFit="0"/>
    </xf>
    <xf fontId="0" fillId="134" borderId="0" xfId="0">
      <alignment vertical="center" textRotation="0" indent="0" justifyLastLine="0" shrinkToFit="0"/>
    </xf>
    <xf fontId="0" fillId="0" borderId="0" xfId="0">
      <alignment horizontal="left" vertical="center" textRotation="0" indent="0" justifyLastLine="0" shrinkToFit="0"/>
    </xf>
    <xf fontId="0" fillId="135" borderId="0" xfId="0">
      <alignment vertical="center" textRotation="0" indent="0" justifyLastLine="0" shrinkToFit="0"/>
    </xf>
    <xf fontId="0" fillId="136" borderId="0" xfId="0">
      <alignment vertical="center" textRotation="0" indent="0" justifyLastLine="0" shrinkToFit="0"/>
    </xf>
    <xf fontId="0" fillId="0" borderId="0" xfId="0">
      <alignment horizontal="right" vertical="center" textRotation="0" indent="0" justifyLastLine="0" shrinkToFit="0"/>
    </xf>
    <xf fontId="0" fillId="137" borderId="0" xfId="0">
      <alignment vertical="center" textRotation="0" indent="0" justifyLastLine="0" shrinkToFit="0"/>
    </xf>
    <xf fontId="0" fillId="138" borderId="0" xfId="0">
      <alignment vertical="center" textRotation="0" indent="0" justifyLastLine="0" shrinkToFit="0"/>
    </xf>
    <xf fontId="22" fillId="0" borderId="0" xfId="0">
      <alignment horizontal="left" vertical="center" textRotation="0" indent="0" justifyLastLine="0" shrinkToFit="0"/>
    </xf>
    <xf fontId="0" fillId="139" borderId="0" xfId="0">
      <alignment vertical="center" textRotation="0" indent="0" justifyLastLine="0" shrinkToFit="0"/>
    </xf>
    <xf fontId="0" fillId="140" borderId="0" xfId="0">
      <alignment vertical="center" textRotation="0" indent="0" justifyLastLine="0" shrinkToFit="0"/>
    </xf>
    <xf fontId="0" fillId="141" borderId="0" xfId="0">
      <alignment vertical="center" textRotation="0" indent="0" justifyLastLine="0" shrinkToFit="0"/>
    </xf>
    <xf fontId="0" fillId="142" borderId="0" xfId="0">
      <alignment vertical="center" textRotation="0" indent="0" justifyLastLine="0" shrinkToFit="0"/>
    </xf>
    <xf fontId="0" fillId="143" borderId="0" xfId="0">
      <alignment vertical="center" textRotation="0" indent="0" justifyLastLine="0" shrinkToFit="0"/>
    </xf>
    <xf fontId="0" fillId="144" borderId="0" xfId="0">
      <alignment vertical="center" textRotation="0" indent="0" justifyLastLine="0" shrinkToFit="0"/>
    </xf>
    <xf fontId="0" fillId="145" borderId="0" xfId="0">
      <alignment vertical="center" textRotation="0" indent="0" justifyLastLine="0" shrinkToFit="0"/>
    </xf>
    <xf fontId="0" fillId="146" borderId="0" xfId="0">
      <alignment vertical="center" textRotation="0" indent="0" justifyLastLine="0" shrinkToFit="0"/>
    </xf>
    <xf fontId="0" fillId="147" borderId="0" xfId="0">
      <alignment vertical="center" textRotation="0" indent="0" justifyLastLine="0" shrinkToFit="0"/>
    </xf>
    <xf fontId="0" fillId="148" borderId="0" xfId="0">
      <alignment vertical="center" textRotation="0" indent="0" justifyLastLine="0" shrinkToFit="0"/>
    </xf>
    <xf fontId="0" fillId="149" borderId="0" xfId="0">
      <alignment vertical="center" textRotation="0" indent="0" justifyLastLine="0" shrinkToFit="0"/>
    </xf>
    <xf fontId="0" fillId="150" borderId="0" xfId="0">
      <alignment vertical="center" textRotation="0" indent="0" justifyLastLine="0" shrinkToFit="0"/>
    </xf>
    <xf fontId="0" fillId="151" borderId="0" xfId="0">
      <alignment vertical="center" textRotation="0" indent="0" justifyLastLine="0" shrinkToFit="0"/>
    </xf>
    <xf fontId="0" fillId="152" borderId="0" xfId="0">
      <alignment vertical="center" textRotation="0" indent="0" justifyLastLine="0" shrinkToFit="0"/>
    </xf>
    <xf fontId="0" fillId="153" borderId="0" xfId="0">
      <alignment vertical="center" textRotation="0" indent="0" justifyLastLine="0" shrinkToFit="0"/>
    </xf>
    <xf fontId="0" fillId="154" borderId="0" xfId="0">
      <alignment vertical="center" textRotation="0" indent="0" justifyLastLine="0" shrinkToFit="0"/>
    </xf>
    <xf fontId="0" fillId="155" borderId="0" xfId="0">
      <alignment vertical="center" textRotation="0" indent="0" justifyLastLine="0" shrinkToFit="0"/>
    </xf>
    <xf fontId="0" fillId="156" borderId="0" xfId="0">
      <alignment vertical="center" textRotation="0" indent="0" justifyLastLine="0" shrinkToFit="0"/>
    </xf>
    <xf fontId="0" fillId="157" borderId="0" xfId="0">
      <alignment vertical="center" textRotation="0" indent="0" justifyLastLine="0" shrinkToFit="0"/>
    </xf>
    <xf fontId="0" fillId="158" borderId="0" xfId="0">
      <alignment vertical="center" textRotation="0" indent="0" justifyLastLine="0" shrinkToFit="0"/>
    </xf>
    <xf fontId="18" fillId="16" borderId="0" xfId="0">
      <alignment vertical="center" textRotation="0" indent="0" justifyLastLine="0" shrinkToFit="0"/>
    </xf>
    <xf fontId="0" fillId="159" borderId="0" xfId="0">
      <alignment vertical="center" textRotation="0" indent="0" justifyLastLine="0" shrinkToFit="0"/>
    </xf>
    <xf fontId="0" fillId="160" borderId="0" xfId="0">
      <alignment vertical="center" textRotation="0" indent="0" justifyLastLine="0" shrinkToFit="0"/>
    </xf>
    <xf fontId="0" fillId="161" borderId="0" xfId="0">
      <alignment vertical="center" textRotation="0" indent="0" justifyLastLine="0" shrinkToFit="0"/>
    </xf>
    <xf fontId="22" fillId="16" borderId="0" xfId="0">
      <alignment horizontal="center" vertical="center" textRotation="0" indent="0" justifyLastLine="0" shrinkToFit="0"/>
    </xf>
    <xf fontId="0" fillId="162" borderId="0" xfId="0">
      <alignment vertical="center" textRotation="0" indent="0" justifyLastLine="0" shrinkToFit="0"/>
    </xf>
    <xf fontId="0" fillId="163" borderId="0" xfId="0">
      <alignment vertical="center" textRotation="0" indent="0" justifyLastLine="0" shrinkToFit="0"/>
    </xf>
    <xf fontId="0" fillId="164" borderId="0" xfId="0">
      <alignment vertical="center" textRotation="0" indent="0" justifyLastLine="0" shrinkToFit="0"/>
    </xf>
    <xf fontId="0" fillId="165" borderId="0" xfId="0">
      <alignment vertical="center" textRotation="0" indent="0" justifyLastLine="0" shrinkToFit="0"/>
    </xf>
    <xf fontId="0" fillId="166" borderId="0" xfId="0">
      <alignment vertical="center" textRotation="0" indent="0" justifyLastLine="0" shrinkToFit="0"/>
    </xf>
    <xf fontId="0" fillId="167" borderId="0" xfId="0">
      <alignment vertical="center" textRotation="0" indent="0" justifyLastLine="0" shrinkToFit="0"/>
    </xf>
    <xf fontId="0" fillId="168" borderId="0" xfId="0">
      <alignment vertical="center" textRotation="0" indent="0" justifyLastLine="0" shrinkToFit="0"/>
    </xf>
    <xf fontId="0" fillId="169" borderId="0" xfId="0">
      <alignment vertical="center" textRotation="0" indent="0" justifyLastLine="0" shrinkToFit="0"/>
    </xf>
    <xf fontId="22" fillId="0" borderId="0" xfId="0">
      <alignment horizontal="right" vertical="center" textRotation="0" indent="0" justifyLastLine="0" shrinkToFit="0"/>
    </xf>
    <xf fontId="0" fillId="170" borderId="0" xfId="0">
      <alignment vertical="center" textRotation="0" indent="0" justifyLastLine="0" shrinkToFit="0"/>
    </xf>
    <xf fontId="0" fillId="171" borderId="0" xfId="0">
      <alignment vertical="center" textRotation="0" indent="0" justifyLastLine="0" shrinkToFit="0"/>
    </xf>
    <xf fontId="0" fillId="172" borderId="0" xfId="0">
      <alignment vertical="center" textRotation="0" indent="0" justifyLastLine="0" shrinkToFit="0"/>
    </xf>
    <xf fontId="0" fillId="36" borderId="0" xfId="0">
      <alignment vertical="center" textRotation="0" indent="0" justifyLastLine="0" shrinkToFit="0"/>
    </xf>
    <xf fontId="0" fillId="38" borderId="0" xfId="0">
      <alignment vertical="center" textRotation="0" indent="0" justifyLastLine="0" shrinkToFit="0"/>
    </xf>
    <xf fontId="0" fillId="156" borderId="0" xfId="0">
      <alignment vertical="center" textRotation="0" indent="0" justifyLastLine="0" shrinkToFit="0"/>
    </xf>
    <xf fontId="0" fillId="150" borderId="0" xfId="0">
      <alignment vertical="center" textRotation="0" indent="0" justifyLastLine="0" shrinkToFit="0"/>
    </xf>
    <xf fontId="0" fillId="167" borderId="0" xfId="0">
      <alignment vertical="center" textRotation="0" indent="0" justifyLastLine="0" shrinkToFit="0"/>
    </xf>
    <xf fontId="0" fillId="158" borderId="0" xfId="0">
      <alignment vertical="center" textRotation="0" indent="0" justifyLastLine="0" shrinkToFit="0"/>
    </xf>
    <xf fontId="0" fillId="140" borderId="0" xfId="0">
      <alignment vertical="center" textRotation="0" indent="0" justifyLastLine="0" shrinkToFit="0"/>
    </xf>
    <xf fontId="0" fillId="131" borderId="0" xfId="0">
      <alignment vertical="center" textRotation="0" indent="0" justifyLastLine="0" shrinkToFit="0"/>
    </xf>
    <xf fontId="0" fillId="142" borderId="0" xfId="0">
      <alignment vertical="center" textRotation="0" indent="0" justifyLastLine="0" shrinkToFit="0"/>
    </xf>
    <xf fontId="0" fillId="144" borderId="0" xfId="0">
      <alignment vertical="center" textRotation="0" indent="0" justifyLastLine="0" shrinkToFit="0"/>
    </xf>
    <xf fontId="0" fillId="134" borderId="0" xfId="0">
      <alignment vertical="center" textRotation="0" indent="0" justifyLastLine="0" shrinkToFit="0"/>
    </xf>
    <xf fontId="0" fillId="173" borderId="0" xfId="0">
      <alignment vertical="center" textRotation="0" indent="0" justifyLastLine="0" shrinkToFit="0"/>
    </xf>
    <xf fontId="0" fillId="135" borderId="0" xfId="0">
      <alignment vertical="center" textRotation="0" indent="0" justifyLastLine="0" shrinkToFit="0"/>
    </xf>
    <xf fontId="0" fillId="160" borderId="0" xfId="0">
      <alignment vertical="center" textRotation="0" indent="0" justifyLastLine="0" shrinkToFit="0"/>
    </xf>
    <xf fontId="0" fillId="153" borderId="0" xfId="0">
      <alignment vertical="center" textRotation="0" indent="0" justifyLastLine="0" shrinkToFit="0"/>
    </xf>
    <xf fontId="0" fillId="171" borderId="0" xfId="0">
      <alignment vertical="center" textRotation="0" indent="0" justifyLastLine="0" shrinkToFit="0"/>
    </xf>
    <xf fontId="0" fillId="27" borderId="0" xfId="0">
      <alignment vertical="center" textRotation="0" indent="0" justifyLastLine="0" shrinkToFit="0"/>
    </xf>
    <xf fontId="0" fillId="28" borderId="0" xfId="0">
      <alignment vertical="center" textRotation="0" indent="0" justifyLastLine="0" shrinkToFit="0"/>
    </xf>
    <xf fontId="0" fillId="161" borderId="0" xfId="0">
      <alignment vertical="center" textRotation="0" indent="0" justifyLastLine="0" shrinkToFit="0"/>
    </xf>
    <xf fontId="0" fillId="162" borderId="0" xfId="0">
      <alignment vertical="center" textRotation="0" indent="0" justifyLastLine="0" shrinkToFit="0"/>
    </xf>
    <xf fontId="0" fillId="163" borderId="0" xfId="0">
      <alignment vertical="center" textRotation="0" indent="0" justifyLastLine="0" shrinkToFit="0"/>
    </xf>
    <xf fontId="0" fillId="147" borderId="0" xfId="0">
      <alignment vertical="center" textRotation="0" indent="0" justifyLastLine="0" shrinkToFit="0"/>
    </xf>
    <xf fontId="0" fillId="0" borderId="0" xfId="0">
      <alignment vertical="center" textRotation="0" wrapText="1" justifyLastLine="0" shrinkToFit="0"/>
    </xf>
    <xf fontId="0" fillId="0" borderId="0" xfId="0">
      <alignment horizontal="center" vertical="center" textRotation="0" justifyLastLine="0" shrinkToFit="0"/>
    </xf>
    <xf fontId="24" fillId="0" borderId="0" xfId="0">
      <alignment vertical="center" textRotation="0" justifyLastLine="0" shrinkToFit="0"/>
    </xf>
    <xf fontId="0" fillId="0" borderId="0" xfId="0">
      <alignment vertical="center" textRotation="0" justifyLastLine="0" shrinkToFit="0"/>
    </xf>
    <xf fontId="25" fillId="0" borderId="0" xfId="0">
      <alignment vertical="center" textRotation="0" justifyLastLine="0" shrinkToFit="0"/>
    </xf>
    <xf fontId="0" fillId="11" borderId="0" xfId="0">
      <alignment vertical="center" textRotation="0" justifyLastLine="0" shrinkToFit="0"/>
    </xf>
    <xf fontId="0" fillId="12" borderId="0" xfId="0">
      <alignment vertical="center" textRotation="0" justifyLastLine="0" shrinkToFit="0"/>
    </xf>
    <xf fontId="20" fillId="0" borderId="0" xfId="0">
      <alignment vertical="center" textRotation="0" justifyLastLine="0" shrinkToFit="0"/>
    </xf>
    <xf fontId="0" fillId="13" borderId="0" xfId="0">
      <alignment vertical="center" textRotation="0" justifyLastLine="0" shrinkToFit="0"/>
    </xf>
    <xf fontId="0" fillId="0" borderId="0" xfId="0">
      <alignment vertical="center" textRotation="0"/>
    </xf>
    <xf fontId="0" fillId="0" borderId="0" xfId="0">
      <alignment horizontal="center" vertical="center" textRotation="0" justifyLastLine="0" shrinkToFit="0"/>
    </xf>
    <xf fontId="0" fillId="0" borderId="0" xfId="0">
      <alignment vertical="center" textRotation="0" justifyLastLine="0" shrinkToFit="0"/>
    </xf>
    <xf fontId="0" fillId="14" borderId="0" xfId="0">
      <alignment horizontal="center" vertical="center" textRotation="0" justifyLastLine="0" shrinkToFit="0"/>
    </xf>
    <xf fontId="18" fillId="0" borderId="0" xfId="0">
      <alignment vertical="center" textRotation="0" justifyLastLine="0" shrinkToFit="0"/>
    </xf>
    <xf fontId="25" fillId="16" borderId="0" xfId="0">
      <alignment vertical="center" textRotation="0" justifyLastLine="0" shrinkToFit="0"/>
    </xf>
    <xf fontId="22" fillId="0" borderId="0" xfId="0">
      <alignment vertical="center" textRotation="0" justifyLastLine="0" shrinkToFit="0"/>
    </xf>
    <xf fontId="0" fillId="17" borderId="0" xfId="0">
      <alignment vertical="center" textRotation="0" justifyLastLine="0" shrinkToFit="0"/>
    </xf>
    <xf fontId="0" fillId="0" borderId="0" xfId="0">
      <alignment horizontal="center" vertical="center" justifyLastLine="0" shrinkToFit="0"/>
    </xf>
    <xf fontId="27" fillId="0" borderId="0" xfId="0">
      <alignment vertical="center" textRotation="0" justifyLastLine="0" shrinkToFit="0"/>
    </xf>
    <xf fontId="0" fillId="18" borderId="0" xfId="0">
      <alignment vertical="center" textRotation="0" justifyLastLine="0" shrinkToFit="0"/>
    </xf>
    <xf fontId="25" fillId="18" borderId="0" xfId="0">
      <alignment vertical="center" textRotation="0" justifyLastLine="0" shrinkToFit="0"/>
    </xf>
    <xf fontId="0" fillId="19" borderId="0" xfId="0">
      <alignment vertical="center" textRotation="0" justifyLastLine="0" shrinkToFit="0"/>
    </xf>
    <xf fontId="22" fillId="11" borderId="0" xfId="0">
      <alignment vertical="center" textRotation="0" justifyLastLine="0" shrinkToFit="0"/>
    </xf>
    <xf fontId="22" fillId="12" borderId="0" xfId="0">
      <alignment vertical="center" textRotation="0" justifyLastLine="0" shrinkToFit="0"/>
    </xf>
    <xf fontId="0" fillId="20" borderId="0" xfId="0">
      <alignment vertical="center" textRotation="0" justifyLastLine="0" shrinkToFit="0"/>
    </xf>
    <xf fontId="24" fillId="15" borderId="0" xfId="0">
      <alignment vertical="center" textRotation="0" justifyLastLine="0" shrinkToFit="0"/>
    </xf>
    <xf fontId="24" fillId="0" borderId="0" xfId="0">
      <alignment horizontal="center" vertical="center" textRotation="0" justifyLastLine="0" shrinkToFit="0"/>
    </xf>
    <xf fontId="22" fillId="0" borderId="0" xfId="0">
      <alignment vertical="center" textRotation="0" justifyLastLine="0" shrinkToFit="0"/>
    </xf>
    <xf fontId="0" fillId="16" borderId="0" xfId="0">
      <alignment vertical="center" textRotation="0" justifyLastLine="0" shrinkToFit="0"/>
    </xf>
    <xf fontId="0" fillId="21" borderId="0" xfId="0">
      <alignment vertical="center" textRotation="0" justifyLastLine="0" shrinkToFit="0"/>
    </xf>
    <xf fontId="0" fillId="0" borderId="0" xfId="0">
      <alignment horizontal="center" vertical="center" textRotation="0"/>
    </xf>
    <xf fontId="0" fillId="16" borderId="0" xfId="0">
      <alignment horizontal="center" vertical="center" textRotation="0" justifyLastLine="0" shrinkToFit="0"/>
    </xf>
    <xf fontId="0" fillId="22" borderId="0" xfId="0">
      <alignment vertical="center" textRotation="0" justifyLastLine="0" shrinkToFit="0"/>
    </xf>
    <xf fontId="0" fillId="23" borderId="0" xfId="0">
      <alignment vertical="center" textRotation="0" justifyLastLine="0" shrinkToFit="0"/>
    </xf>
    <xf fontId="0" fillId="24" borderId="0" xfId="0">
      <alignment vertical="center" textRotation="0" justifyLastLine="0" shrinkToFit="0"/>
    </xf>
    <xf fontId="0" fillId="25" borderId="0" xfId="0">
      <alignment vertical="center" textRotation="0" justifyLastLine="0" shrinkToFit="0"/>
    </xf>
    <xf fontId="0" fillId="26" borderId="0" xfId="0">
      <alignment vertical="center" textRotation="0" justifyLastLine="0" shrinkToFit="0"/>
    </xf>
    <xf fontId="0" fillId="27" borderId="0" xfId="0">
      <alignment vertical="center" textRotation="0" justifyLastLine="0" shrinkToFit="0"/>
    </xf>
    <xf fontId="0" fillId="28" borderId="0" xfId="0">
      <alignment vertical="center" textRotation="0" justifyLastLine="0" shrinkToFit="0"/>
    </xf>
    <xf fontId="22" fillId="16" borderId="0" xfId="0">
      <alignment vertical="center" textRotation="0" justifyLastLine="0" shrinkToFit="0"/>
    </xf>
    <xf fontId="0" fillId="29" borderId="0" xfId="0">
      <alignment vertical="center" textRotation="0" justifyLastLine="0" shrinkToFit="0"/>
    </xf>
    <xf fontId="28" fillId="0" borderId="0" xfId="0">
      <alignment vertical="center" textRotation="0"/>
    </xf>
    <xf fontId="0" fillId="30" borderId="0" xfId="0">
      <alignment vertical="center" textRotation="0" justifyLastLine="0" shrinkToFit="0"/>
    </xf>
    <xf fontId="22" fillId="0" borderId="0" xfId="0">
      <alignment horizontal="center" vertical="center" textRotation="0" justifyLastLine="0" shrinkToFit="0"/>
    </xf>
    <xf fontId="0" fillId="31" borderId="0" xfId="0">
      <alignment vertical="center" textRotation="0" justifyLastLine="0" shrinkToFit="0"/>
    </xf>
    <xf fontId="28" fillId="0" borderId="0" xfId="0">
      <alignment horizontal="center" vertical="center" textRotation="0" justifyLastLine="0" shrinkToFit="0"/>
    </xf>
    <xf fontId="0" fillId="32" borderId="0" xfId="0">
      <alignment vertical="center" textRotation="0" justifyLastLine="0" shrinkToFit="0"/>
    </xf>
    <xf fontId="29" fillId="0" borderId="0" xfId="0">
      <alignment vertical="center" textRotation="0" justifyLastLine="0" shrinkToFit="0"/>
    </xf>
    <xf fontId="0" fillId="33" borderId="0" xfId="0">
      <alignment vertical="center" textRotation="0" justifyLastLine="0" shrinkToFit="0"/>
    </xf>
    <xf fontId="0" fillId="34" borderId="0" xfId="0">
      <alignment vertical="center" textRotation="0" justifyLastLine="0" shrinkToFit="0"/>
    </xf>
    <xf fontId="0" fillId="35" borderId="0" xfId="0">
      <alignment vertical="center" textRotation="0" justifyLastLine="0" shrinkToFit="0"/>
    </xf>
    <xf fontId="0" fillId="36" borderId="0" xfId="0">
      <alignment vertical="center" textRotation="0" justifyLastLine="0" shrinkToFit="0"/>
    </xf>
    <xf fontId="28" fillId="16" borderId="0" xfId="0">
      <alignment vertical="center" textRotation="0"/>
    </xf>
    <xf fontId="22" fillId="16" borderId="0" xfId="0">
      <alignment vertical="center" textRotation="0" justifyLastLine="0" shrinkToFit="0"/>
    </xf>
    <xf fontId="0" fillId="37" borderId="0" xfId="0">
      <alignment vertical="center" textRotation="0" justifyLastLine="0" shrinkToFit="0"/>
    </xf>
    <xf fontId="0" fillId="38" borderId="0" xfId="0">
      <alignment vertical="center" textRotation="0" justifyLastLine="0" shrinkToFit="0"/>
    </xf>
    <xf fontId="0" fillId="39" borderId="0" xfId="0">
      <alignment vertical="center" textRotation="0" justifyLastLine="0" shrinkToFit="0"/>
    </xf>
    <xf fontId="27" fillId="16" borderId="0" xfId="0">
      <alignment vertical="center" textRotation="0" justifyLastLine="0" shrinkToFit="0"/>
    </xf>
    <xf fontId="0" fillId="40" borderId="0" xfId="0">
      <alignment vertical="center" textRotation="0" justifyLastLine="0" shrinkToFit="0"/>
    </xf>
    <xf fontId="30" fillId="41" borderId="0" xfId="0">
      <alignment vertical="center" textRotation="0" justifyLastLine="0" shrinkToFit="0"/>
    </xf>
    <xf fontId="30" fillId="42" borderId="0" xfId="0">
      <alignment vertical="center" textRotation="0" justifyLastLine="0" shrinkToFit="0"/>
    </xf>
    <xf fontId="0" fillId="43" borderId="0" xfId="0">
      <alignment vertical="center" textRotation="0" justifyLastLine="0" shrinkToFit="0"/>
    </xf>
    <xf fontId="0" fillId="44" borderId="0" xfId="0">
      <alignment vertical="center" textRotation="0" justifyLastLine="0" shrinkToFit="0"/>
    </xf>
    <xf fontId="0" fillId="45" borderId="0" xfId="0">
      <alignment vertical="center" textRotation="0" justifyLastLine="0" shrinkToFit="0"/>
    </xf>
    <xf fontId="31" fillId="0" borderId="0" xfId="0">
      <alignment vertical="center" textRotation="0"/>
    </xf>
    <xf fontId="0" fillId="46" borderId="0" xfId="0">
      <alignment vertical="center" textRotation="0" justifyLastLine="0" shrinkToFit="0"/>
    </xf>
    <xf fontId="28" fillId="15" borderId="0" xfId="0">
      <alignment vertical="center" textRotation="0" justifyLastLine="0" shrinkToFit="0"/>
    </xf>
    <xf fontId="22" fillId="0" borderId="0" xfId="0">
      <alignment vertical="center" justifyLastLine="0" shrinkToFit="0"/>
    </xf>
    <xf fontId="0" fillId="47" borderId="0" xfId="0">
      <alignment vertical="center" textRotation="0" justifyLastLine="0" shrinkToFit="0"/>
    </xf>
    <xf fontId="0" fillId="48" borderId="0" xfId="0">
      <alignment vertical="center" textRotation="0" justifyLastLine="0" shrinkToFit="0"/>
    </xf>
    <xf fontId="0" fillId="49" borderId="0" xfId="0">
      <alignment vertical="center" textRotation="0" justifyLastLine="0" shrinkToFit="0"/>
    </xf>
    <xf fontId="0" fillId="50" borderId="0" xfId="0">
      <alignment vertical="center" textRotation="0" justifyLastLine="0" shrinkToFit="0"/>
    </xf>
    <xf fontId="22" fillId="0" borderId="9" xfId="0">
      <alignment vertical="center" textRotation="0" justifyLastLine="0" shrinkToFit="0"/>
    </xf>
    <xf fontId="0" fillId="51" borderId="0" xfId="0">
      <alignment vertical="center" textRotation="0" justifyLastLine="0" shrinkToFit="0"/>
    </xf>
    <xf fontId="20" fillId="52" borderId="0" xfId="0">
      <alignment vertical="center" textRotation="0" justifyLastLine="0" shrinkToFit="0"/>
    </xf>
    <xf fontId="32" fillId="53" borderId="0" xfId="0">
      <alignment vertical="center" textRotation="0" justifyLastLine="0" shrinkToFit="0"/>
    </xf>
    <xf fontId="0" fillId="54" borderId="0" xfId="0">
      <alignment vertical="center" textRotation="0" justifyLastLine="0" shrinkToFit="0"/>
    </xf>
    <xf fontId="0" fillId="0" borderId="0" xfId="0">
      <alignment vertical="center" justifyLastLine="0" shrinkToFit="0"/>
    </xf>
    <xf fontId="0" fillId="56" borderId="0" xfId="0">
      <alignment vertical="center" textRotation="0" justifyLastLine="0" shrinkToFit="0"/>
    </xf>
    <xf fontId="22" fillId="0" borderId="0" xfId="0">
      <alignment horizontal="center" vertical="center" textRotation="0"/>
    </xf>
    <xf fontId="0" fillId="57" borderId="0" xfId="0">
      <alignment vertical="center" textRotation="0" justifyLastLine="0" shrinkToFit="0"/>
    </xf>
    <xf fontId="0" fillId="58" borderId="0" xfId="0">
      <alignment vertical="center" textRotation="0" justifyLastLine="0" shrinkToFit="0"/>
    </xf>
    <xf fontId="22" fillId="0" borderId="0" xfId="0">
      <alignment vertical="center" textRotation="0"/>
    </xf>
    <xf fontId="0" fillId="59" borderId="0" xfId="0">
      <alignment vertical="center" textRotation="0" justifyLastLine="0" shrinkToFit="0"/>
    </xf>
    <xf fontId="0" fillId="16" borderId="0" xfId="0">
      <alignment vertical="center" textRotation="0"/>
    </xf>
    <xf fontId="0" fillId="16" borderId="0" xfId="0">
      <alignment vertical="center" textRotation="0" justifyLastLine="0" shrinkToFit="0"/>
    </xf>
    <xf fontId="0" fillId="60" borderId="0" xfId="0">
      <alignment vertical="center" textRotation="0" justifyLastLine="0" shrinkToFit="0"/>
    </xf>
    <xf fontId="0" fillId="61" borderId="0" xfId="0">
      <alignment vertical="center" textRotation="0" justifyLastLine="0" shrinkToFit="0"/>
    </xf>
    <xf fontId="0" fillId="62" borderId="0" xfId="0">
      <alignment vertical="center" textRotation="0" justifyLastLine="0" shrinkToFit="0"/>
    </xf>
    <xf fontId="0" fillId="15" borderId="0" xfId="0">
      <alignment vertical="center" textRotation="0"/>
    </xf>
    <xf fontId="0" fillId="63" borderId="0" xfId="0">
      <alignment vertical="center" textRotation="0" justifyLastLine="0" shrinkToFit="0"/>
    </xf>
    <xf fontId="0" fillId="64" borderId="0" xfId="0">
      <alignment vertical="center" textRotation="0" justifyLastLine="0" shrinkToFit="0"/>
    </xf>
    <xf fontId="0" fillId="65" borderId="0" xfId="0">
      <alignment vertical="center" textRotation="0" justifyLastLine="0" shrinkToFit="0"/>
    </xf>
    <xf fontId="34" fillId="53" borderId="0" xfId="0">
      <alignment vertical="center" textRotation="0" wrapText="1" justifyLastLine="0" shrinkToFit="0"/>
    </xf>
    <xf fontId="22" fillId="16" borderId="0" xfId="0">
      <alignment vertical="center" textRotation="0"/>
    </xf>
    <xf fontId="0" fillId="66" borderId="0" xfId="0">
      <alignment vertical="center" textRotation="0" justifyLastLine="0" shrinkToFit="0"/>
    </xf>
    <xf fontId="0" fillId="0" borderId="0" xfId="0">
      <alignment vertical="center" textRotation="0"/>
    </xf>
    <xf fontId="24" fillId="15" borderId="0" xfId="0">
      <alignment vertical="center" textRotation="0"/>
    </xf>
    <xf fontId="24" fillId="0" borderId="0" xfId="0">
      <alignment horizontal="center" vertical="center" textRotation="0"/>
    </xf>
    <xf fontId="22" fillId="16" borderId="0" xfId="0">
      <alignment vertical="center" textRotation="0"/>
    </xf>
    <xf fontId="0" fillId="67" borderId="0" xfId="0">
      <alignment vertical="center" textRotation="0" justifyLastLine="0" shrinkToFit="0"/>
    </xf>
    <xf fontId="0" fillId="68" borderId="0" xfId="0">
      <alignment vertical="center" textRotation="0" justifyLastLine="0" shrinkToFit="0"/>
    </xf>
    <xf fontId="0" fillId="69" borderId="0" xfId="0">
      <alignment vertical="center" textRotation="0" justifyLastLine="0" shrinkToFit="0"/>
    </xf>
    <xf fontId="0" fillId="16" borderId="0" xfId="0">
      <alignment vertical="center" justifyLastLine="0" shrinkToFit="0"/>
    </xf>
    <xf fontId="0" fillId="0" borderId="0" xfId="0">
      <alignment vertical="center" justifyLastLine="0" shrinkToFit="0"/>
    </xf>
    <xf fontId="0" fillId="71" borderId="0" xfId="0">
      <alignment vertical="center" textRotation="0" justifyLastLine="0" shrinkToFit="0"/>
    </xf>
    <xf fontId="0" fillId="72" borderId="0" xfId="0">
      <alignment vertical="center" textRotation="0" justifyLastLine="0" shrinkToFit="0"/>
    </xf>
    <xf fontId="20" fillId="0" borderId="0" xfId="0">
      <alignment vertical="center" justifyLastLine="0" shrinkToFit="0"/>
    </xf>
    <xf fontId="0" fillId="73" borderId="0" xfId="0">
      <alignment vertical="center" textRotation="0" justifyLastLine="0" shrinkToFit="0"/>
    </xf>
    <xf fontId="0" fillId="74" borderId="0" xfId="0">
      <alignment vertical="center" textRotation="0" justifyLastLine="0" shrinkToFit="0"/>
    </xf>
    <xf fontId="0" fillId="75" borderId="0" xfId="0">
      <alignment vertical="center" textRotation="0" justifyLastLine="0" shrinkToFit="0"/>
    </xf>
    <xf fontId="24" fillId="16" borderId="0" xfId="0">
      <alignment vertical="center" textRotation="0" justifyLastLine="0" shrinkToFit="0"/>
    </xf>
    <xf fontId="0" fillId="55" borderId="0" xfId="0">
      <alignment horizontal="center" vertical="center" justifyLastLine="0" shrinkToFit="0"/>
    </xf>
    <xf fontId="0" fillId="76" borderId="0" xfId="0">
      <alignment vertical="center" textRotation="0" justifyLastLine="0" shrinkToFit="0"/>
    </xf>
    <xf fontId="0" fillId="0" borderId="0" xfId="0">
      <alignment horizontal="center" vertical="center" textRotation="0"/>
    </xf>
    <xf fontId="0" fillId="77" borderId="0" xfId="0">
      <alignment vertical="center" textRotation="0" justifyLastLine="0" shrinkToFit="0"/>
    </xf>
    <xf fontId="22" fillId="67" borderId="0" xfId="0">
      <alignment vertical="center" textRotation="0" justifyLastLine="0" shrinkToFit="0"/>
    </xf>
    <xf fontId="22" fillId="68" borderId="0" xfId="0">
      <alignment vertical="center" textRotation="0" justifyLastLine="0" shrinkToFit="0"/>
    </xf>
    <xf fontId="0" fillId="78" borderId="0" xfId="0">
      <alignment vertical="center" textRotation="0" justifyLastLine="0" shrinkToFit="0"/>
    </xf>
    <xf fontId="0" fillId="79" borderId="0" xfId="0">
      <alignment vertical="center" textRotation="0" justifyLastLine="0" shrinkToFit="0"/>
    </xf>
    <xf fontId="22" fillId="0" borderId="0" xfId="0">
      <alignment vertical="center" justifyLastLine="0" shrinkToFit="0"/>
    </xf>
    <xf fontId="0" fillId="80" borderId="0" xfId="0">
      <alignment vertical="center" textRotation="0" justifyLastLine="0" shrinkToFit="0"/>
    </xf>
    <xf fontId="24" fillId="0" borderId="0" xfId="0">
      <alignment vertical="center" textRotation="0"/>
    </xf>
    <xf fontId="0" fillId="81" borderId="0" xfId="0">
      <alignment vertical="center" textRotation="0" justifyLastLine="0" shrinkToFit="0"/>
    </xf>
    <xf fontId="0" fillId="82" borderId="0" xfId="0">
      <alignment vertical="center" textRotation="0" justifyLastLine="0" shrinkToFit="0"/>
    </xf>
    <xf fontId="28" fillId="15" borderId="0" xfId="0">
      <alignment vertical="center" textRotation="0"/>
    </xf>
    <xf fontId="22" fillId="16" borderId="0" xfId="0">
      <alignment vertical="center" justifyLastLine="0" shrinkToFit="0"/>
    </xf>
    <xf fontId="0" fillId="83" borderId="0" xfId="0">
      <alignment vertical="center" textRotation="0" justifyLastLine="0" shrinkToFit="0"/>
    </xf>
    <xf fontId="0" fillId="84" borderId="0" xfId="0">
      <alignment vertical="center" textRotation="0" justifyLastLine="0" shrinkToFit="0"/>
    </xf>
    <xf fontId="22" fillId="85" borderId="0" xfId="0">
      <alignment vertical="center" textRotation="0" justifyLastLine="0" shrinkToFit="0"/>
    </xf>
    <xf fontId="22" fillId="55" borderId="0" xfId="0">
      <alignment vertical="center" textRotation="0" justifyLastLine="0" shrinkToFit="0"/>
    </xf>
    <xf fontId="0" fillId="86" borderId="0" xfId="0">
      <alignment vertical="center" textRotation="0" justifyLastLine="0" shrinkToFit="0"/>
    </xf>
    <xf fontId="22" fillId="0" borderId="0" xfId="0">
      <alignment vertical="center" textRotation="0"/>
    </xf>
    <xf fontId="0" fillId="87" borderId="0" xfId="0">
      <alignment vertical="center" textRotation="0" justifyLastLine="0" shrinkToFit="0"/>
    </xf>
    <xf fontId="0" fillId="88" borderId="0" xfId="0">
      <alignment vertical="center" textRotation="0" justifyLastLine="0" shrinkToFit="0"/>
    </xf>
    <xf fontId="0" fillId="89" borderId="0" xfId="0">
      <alignment vertical="center" textRotation="0" justifyLastLine="0" shrinkToFit="0"/>
    </xf>
    <xf fontId="18" fillId="0" borderId="0" xfId="0">
      <alignment vertical="center" textRotation="0"/>
    </xf>
    <xf fontId="28" fillId="0" borderId="0" xfId="0">
      <alignment horizontal="center" vertical="center" justifyLastLine="0" shrinkToFit="0"/>
    </xf>
    <xf fontId="0" fillId="90" borderId="0" xfId="0">
      <alignment vertical="center" textRotation="0" justifyLastLine="0" shrinkToFit="0"/>
    </xf>
    <xf fontId="33" fillId="0" borderId="0" xfId="0">
      <alignment vertical="center" textRotation="0"/>
    </xf>
    <xf fontId="0" fillId="0" borderId="9" xfId="0">
      <alignment vertical="center" textRotation="0" wrapText="1" justifyLastLine="0" shrinkToFit="0"/>
    </xf>
    <xf fontId="22" fillId="0" borderId="0" xfId="0">
      <alignment vertical="center" textRotation="0" justifyLastLine="0" shrinkToFit="0"/>
    </xf>
    <xf fontId="0" fillId="91" borderId="0" xfId="0">
      <alignment vertical="center" textRotation="0" justifyLastLine="0" shrinkToFit="0"/>
    </xf>
    <xf fontId="0" fillId="92" borderId="0" xfId="0">
      <alignment vertical="center" textRotation="0" justifyLastLine="0" shrinkToFit="0"/>
    </xf>
    <xf fontId="26" fillId="15" borderId="0" xfId="0">
      <alignment vertical="center" justifyLastLine="0" shrinkToFit="0"/>
    </xf>
    <xf fontId="0" fillId="93" borderId="0" xfId="0">
      <alignment vertical="center" textRotation="0" justifyLastLine="0" shrinkToFit="0"/>
    </xf>
    <xf fontId="0" fillId="94" borderId="0" xfId="0">
      <alignment vertical="center" textRotation="0" justifyLastLine="0" shrinkToFit="0"/>
    </xf>
    <xf fontId="30" fillId="95" borderId="0" xfId="0">
      <alignment horizontal="center" vertical="center" textRotation="0" justifyLastLine="0" shrinkToFit="0"/>
    </xf>
    <xf fontId="0" fillId="96" borderId="0" xfId="0">
      <alignment vertical="center" textRotation="0" justifyLastLine="0" shrinkToFit="0"/>
    </xf>
    <xf fontId="28" fillId="0" borderId="0" xfId="0">
      <alignment horizontal="center" vertical="center" textRotation="0"/>
    </xf>
    <xf fontId="0" fillId="97" borderId="0" xfId="0">
      <alignment vertical="center" textRotation="0" justifyLastLine="0" shrinkToFit="0"/>
    </xf>
    <xf fontId="0" fillId="98" borderId="0" xfId="0">
      <alignment vertical="center" textRotation="0" justifyLastLine="0" shrinkToFit="0"/>
    </xf>
    <xf fontId="33" fillId="0" borderId="0" xfId="0">
      <alignment horizontal="center" vertical="center" textRotation="0"/>
    </xf>
    <xf fontId="0" fillId="99" borderId="0" xfId="0">
      <alignment vertical="center" textRotation="0" justifyLastLine="0" shrinkToFit="0"/>
    </xf>
    <xf fontId="22" fillId="100" borderId="0" xfId="0">
      <alignment vertical="center" textRotation="0" justifyLastLine="0" shrinkToFit="0"/>
    </xf>
    <xf fontId="0" fillId="101" borderId="0" xfId="0">
      <alignment vertical="center" textRotation="0" justifyLastLine="0" shrinkToFit="0"/>
    </xf>
    <xf fontId="0" fillId="102" borderId="0" xfId="0">
      <alignment vertical="center" textRotation="0" justifyLastLine="0" shrinkToFit="0"/>
    </xf>
    <xf fontId="0" fillId="103" borderId="0" xfId="0">
      <alignment vertical="center" textRotation="0" justifyLastLine="0" shrinkToFit="0"/>
    </xf>
    <xf fontId="0" fillId="104" borderId="0" xfId="0">
      <alignment vertical="center" textRotation="0" justifyLastLine="0" shrinkToFit="0"/>
    </xf>
    <xf fontId="0" fillId="105" borderId="0" xfId="0">
      <alignment vertical="center" textRotation="0" justifyLastLine="0" shrinkToFit="0"/>
    </xf>
    <xf fontId="0" fillId="106" borderId="0" xfId="0">
      <alignment vertical="center" textRotation="0" justifyLastLine="0" shrinkToFit="0"/>
    </xf>
    <xf fontId="0" fillId="107" borderId="0" xfId="0">
      <alignment vertical="center" textRotation="0" justifyLastLine="0" shrinkToFit="0"/>
    </xf>
    <xf fontId="22" fillId="16" borderId="0" xfId="0">
      <alignment vertical="center" justifyLastLine="0" shrinkToFit="0"/>
    </xf>
    <xf fontId="24" fillId="0" borderId="0" xfId="0">
      <alignment vertical="center" textRotation="0"/>
    </xf>
    <xf fontId="22" fillId="15" borderId="0" xfId="0">
      <alignment vertical="center" textRotation="0"/>
    </xf>
    <xf fontId="0" fillId="0" borderId="0" xfId="0">
      <alignment vertical="center" textRotation="0" justifyLastLine="0" shrinkToFit="0"/>
    </xf>
    <xf fontId="0" fillId="108" borderId="0" xfId="0">
      <alignment vertical="center" textRotation="0" justifyLastLine="0" shrinkToFit="0"/>
    </xf>
    <xf fontId="33" fillId="0" borderId="0" xfId="0">
      <alignment horizontal="center" vertical="center" textRotation="0" justifyLastLine="0" shrinkToFit="0"/>
    </xf>
    <xf fontId="0" fillId="109" borderId="0" xfId="0">
      <alignment vertical="center" textRotation="0" justifyLastLine="0" shrinkToFit="0"/>
    </xf>
    <xf fontId="0" fillId="110" borderId="0" xfId="0">
      <alignment vertical="center" textRotation="0" justifyLastLine="0" shrinkToFit="0"/>
    </xf>
    <xf fontId="22" fillId="111" borderId="0" xfId="0">
      <alignment vertical="center" textRotation="0" justifyLastLine="0" shrinkToFit="0"/>
    </xf>
    <xf fontId="0" fillId="112" borderId="0" xfId="0">
      <alignment vertical="center" textRotation="0" justifyLastLine="0" shrinkToFit="0"/>
    </xf>
    <xf fontId="0" fillId="113" borderId="0" xfId="0">
      <alignment vertical="center" textRotation="0" justifyLastLine="0" shrinkToFit="0"/>
    </xf>
    <xf fontId="0" fillId="114" borderId="0" xfId="0">
      <alignment vertical="center" textRotation="0" justifyLastLine="0" shrinkToFit="0"/>
    </xf>
    <xf fontId="20" fillId="0" borderId="0" xfId="0">
      <alignment vertical="center" textRotation="0"/>
    </xf>
    <xf fontId="20" fillId="0" borderId="0" xfId="0">
      <alignment vertical="center" justifyLastLine="0" shrinkToFit="0"/>
    </xf>
    <xf fontId="20" fillId="0" borderId="0" xfId="0">
      <alignment vertical="center" textRotation="0" justifyLastLine="0" shrinkToFit="0"/>
    </xf>
    <xf fontId="0" fillId="115" borderId="0" xfId="0">
      <alignment vertical="center" textRotation="0" justifyLastLine="0" shrinkToFit="0"/>
    </xf>
    <xf fontId="28" fillId="0" borderId="0" xfId="0">
      <alignment vertical="center" justifyLastLine="0" shrinkToFit="0"/>
    </xf>
    <xf fontId="0" fillId="116" borderId="0" xfId="0">
      <alignment vertical="center" textRotation="0" justifyLastLine="0" shrinkToFit="0"/>
    </xf>
    <xf fontId="0" fillId="117" borderId="0" xfId="0">
      <alignment vertical="center" textRotation="0" justifyLastLine="0" shrinkToFit="0"/>
    </xf>
    <xf fontId="0" fillId="118" borderId="0" xfId="0">
      <alignment vertical="center" textRotation="0" justifyLastLine="0" shrinkToFit="0"/>
    </xf>
    <xf fontId="0" fillId="119" borderId="0" xfId="0">
      <alignment vertical="center" textRotation="0" justifyLastLine="0" shrinkToFit="0"/>
    </xf>
    <xf fontId="0" fillId="120" borderId="0" xfId="0">
      <alignment vertical="center" textRotation="0" justifyLastLine="0" shrinkToFit="0"/>
    </xf>
    <xf fontId="0" fillId="121" borderId="0" xfId="0">
      <alignment vertical="center" textRotation="0" justifyLastLine="0" shrinkToFit="0"/>
    </xf>
    <xf fontId="0" fillId="0" borderId="0" xfId="0">
      <alignment vertical="center" textRotation="0" wrapText="1" justifyLastLine="0" shrinkToFit="0"/>
    </xf>
    <xf fontId="24" fillId="0" borderId="0" xfId="0">
      <alignment vertical="center" textRotation="0" justifyLastLine="0" shrinkToFit="0"/>
    </xf>
    <xf fontId="22" fillId="111" borderId="0" xfId="0">
      <alignment vertical="center" textRotation="0" justifyLastLine="0" shrinkToFit="0"/>
    </xf>
    <xf fontId="22" fillId="0" borderId="0" xfId="0">
      <alignment vertical="center" textRotation="0" justifyLastLine="0" shrinkToFit="0"/>
    </xf>
    <xf fontId="0" fillId="64" borderId="0" xfId="0">
      <alignment vertical="center" textRotation="0" justifyLastLine="0" shrinkToFit="0"/>
    </xf>
    <xf fontId="35" fillId="0" borderId="0" xfId="0">
      <alignment vertical="center" textRotation="0" justifyLastLine="0" shrinkToFit="0"/>
    </xf>
    <xf fontId="0" fillId="122" borderId="0" xfId="0">
      <alignment vertical="center" textRotation="0" justifyLastLine="0" shrinkToFit="0"/>
    </xf>
    <xf fontId="27" fillId="0" borderId="0" xfId="0">
      <alignment vertical="center" textRotation="0" justifyLastLine="0" shrinkToFit="0"/>
    </xf>
    <xf fontId="0" fillId="39" borderId="0" xfId="0">
      <alignment vertical="center" textRotation="0" justifyLastLine="0" shrinkToFit="0"/>
    </xf>
    <xf fontId="0" fillId="16" borderId="0" xfId="0">
      <alignment horizontal="center" vertical="center" textRotation="0" justifyLastLine="0" shrinkToFit="0"/>
    </xf>
    <xf fontId="0" fillId="0" borderId="0" xfId="0">
      <alignment vertical="center" textRotation="0" justifyLastLine="0" shrinkToFit="0"/>
    </xf>
    <xf fontId="0" fillId="123" borderId="0" xfId="0">
      <alignment vertical="center" textRotation="0" justifyLastLine="0" shrinkToFit="0"/>
    </xf>
    <xf fontId="0" fillId="124" borderId="0" xfId="0">
      <alignment vertical="center" textRotation="0" justifyLastLine="0" shrinkToFit="0"/>
    </xf>
    <xf fontId="18" fillId="0" borderId="0" xfId="0">
      <alignment vertical="center" textRotation="0" justifyLastLine="0" shrinkToFit="0"/>
    </xf>
    <xf fontId="20" fillId="0" borderId="0" xfId="0">
      <alignment vertical="center" textRotation="0"/>
    </xf>
    <xf fontId="0" fillId="125" borderId="0" xfId="0">
      <alignment vertical="center" textRotation="0" justifyLastLine="0" shrinkToFit="0"/>
    </xf>
    <xf fontId="30" fillId="126" borderId="0" xfId="0">
      <alignment vertical="center" textRotation="0" justifyLastLine="0" shrinkToFit="0"/>
    </xf>
    <xf fontId="0" fillId="127" borderId="0" xfId="0">
      <alignment vertical="center" textRotation="0" justifyLastLine="0" shrinkToFit="0"/>
    </xf>
    <xf fontId="20" fillId="0" borderId="0" xfId="0">
      <alignment vertical="center" justifyLastLine="0" shrinkToFit="0"/>
    </xf>
    <xf fontId="0" fillId="87" borderId="0" xfId="0">
      <alignment vertical="center" textRotation="0" justifyLastLine="0" shrinkToFit="0"/>
    </xf>
    <xf fontId="0" fillId="72" borderId="0" xfId="0">
      <alignment vertical="center" textRotation="0" justifyLastLine="0" shrinkToFit="0"/>
    </xf>
    <xf fontId="0" fillId="55" borderId="0" xfId="0">
      <alignment horizontal="center" vertical="center" justifyLastLine="0" shrinkToFit="0"/>
    </xf>
    <xf fontId="0" fillId="45" borderId="0" xfId="0">
      <alignment vertical="center" textRotation="0" justifyLastLine="0" shrinkToFit="0"/>
    </xf>
    <xf fontId="29" fillId="0" borderId="0" xfId="0">
      <alignment vertical="center" textRotation="0" justifyLastLine="0" shrinkToFit="0"/>
    </xf>
    <xf fontId="0" fillId="105" borderId="0" xfId="0">
      <alignment vertical="center" textRotation="0" justifyLastLine="0" shrinkToFit="0"/>
    </xf>
    <xf fontId="0" fillId="89" borderId="0" xfId="0">
      <alignment vertical="center" textRotation="0" justifyLastLine="0" shrinkToFit="0"/>
    </xf>
    <xf fontId="0" fillId="47" borderId="0" xfId="0">
      <alignment vertical="center" textRotation="0" justifyLastLine="0" shrinkToFit="0"/>
    </xf>
    <xf fontId="0" fillId="20" borderId="0" xfId="0">
      <alignment vertical="center" textRotation="0" justifyLastLine="0" shrinkToFit="0"/>
    </xf>
    <xf fontId="0" fillId="49" borderId="0" xfId="0">
      <alignment vertical="center" textRotation="0" justifyLastLine="0" shrinkToFit="0"/>
    </xf>
    <xf fontId="0" fillId="51" borderId="0" xfId="0">
      <alignment vertical="center" textRotation="0" justifyLastLine="0" shrinkToFit="0"/>
    </xf>
    <xf fontId="0" fillId="14" borderId="0" xfId="0">
      <alignment horizontal="center" vertical="center" textRotation="0" justifyLastLine="0" shrinkToFit="0"/>
    </xf>
    <xf fontId="0" fillId="23" borderId="0" xfId="0">
      <alignment vertical="center" textRotation="0" justifyLastLine="0" shrinkToFit="0"/>
    </xf>
    <xf fontId="0" fillId="128" borderId="0" xfId="0">
      <alignment vertical="center" textRotation="0" justifyLastLine="0" shrinkToFit="0"/>
    </xf>
    <xf fontId="36" fillId="0" borderId="0" xfId="0">
      <alignment vertical="center" textRotation="0" justifyLastLine="0" shrinkToFit="0"/>
    </xf>
    <xf fontId="0" fillId="24" borderId="0" xfId="0">
      <alignment vertical="center" textRotation="0" justifyLastLine="0" shrinkToFit="0"/>
    </xf>
    <xf fontId="0" fillId="91" borderId="0" xfId="0">
      <alignment vertical="center" textRotation="0" justifyLastLine="0" shrinkToFit="0"/>
    </xf>
    <xf fontId="0" fillId="76" borderId="0" xfId="0">
      <alignment vertical="center" textRotation="0" justifyLastLine="0" shrinkToFit="0"/>
    </xf>
    <xf fontId="0" fillId="114" borderId="0" xfId="0">
      <alignment vertical="center" textRotation="0" justifyLastLine="0" shrinkToFit="0"/>
    </xf>
    <xf fontId="0" fillId="92" borderId="0" xfId="0">
      <alignment vertical="center" textRotation="0" justifyLastLine="0" shrinkToFit="0"/>
    </xf>
    <xf fontId="0" fillId="77" borderId="0" xfId="0">
      <alignment vertical="center" textRotation="0" justifyLastLine="0" shrinkToFit="0"/>
    </xf>
    <xf fontId="0" fillId="93" borderId="0" xfId="0">
      <alignment vertical="center" textRotation="0" justifyLastLine="0" shrinkToFit="0"/>
    </xf>
    <xf fontId="0" fillId="31" borderId="0" xfId="0">
      <alignment vertical="center" textRotation="0" justifyLastLine="0" shrinkToFit="0"/>
    </xf>
    <xf fontId="0" fillId="94" borderId="0" xfId="0">
      <alignment vertical="center" textRotation="0" justifyLastLine="0" shrinkToFit="0"/>
    </xf>
    <xf fontId="0" fillId="96" borderId="0" xfId="0">
      <alignment vertical="center" textRotation="0" justifyLastLine="0" shrinkToFit="0"/>
    </xf>
    <xf fontId="0" fillId="108" borderId="0" xfId="0">
      <alignment vertical="center" textRotation="0" justifyLastLine="0" shrinkToFit="0"/>
    </xf>
    <xf fontId="0" fillId="62" borderId="0" xfId="0">
      <alignment vertical="center" textRotation="0" justifyLastLine="0" shrinkToFit="0"/>
    </xf>
    <xf fontId="0" fillId="0" borderId="0" xfId="0">
      <alignment horizontal="left" vertical="center" textRotation="0" justifyLastLine="0" shrinkToFit="0"/>
    </xf>
    <xf fontId="0" fillId="0" borderId="0" xfId="0">
      <alignment horizontal="right" vertical="center" textRotation="0" justifyLastLine="0" shrinkToFit="0"/>
    </xf>
    <xf fontId="28" fillId="0" borderId="0" xfId="0">
      <alignment vertical="center" textRotation="0" justifyLastLine="0" shrinkToFit="0"/>
    </xf>
    <xf fontId="22" fillId="0" borderId="0" xfId="0">
      <alignment horizontal="left" vertical="center" textRotation="0" justifyLastLine="0" shrinkToFit="0"/>
    </xf>
    <xf fontId="28" fillId="16" borderId="0" xfId="0">
      <alignment vertical="center" textRotation="0" justifyLastLine="0" shrinkToFit="0"/>
    </xf>
    <xf fontId="31" fillId="0" borderId="0" xfId="0">
      <alignment vertical="center" textRotation="0" justifyLastLine="0" shrinkToFit="0"/>
    </xf>
    <xf fontId="0" fillId="15" borderId="0" xfId="0">
      <alignment vertical="center" textRotation="0" justifyLastLine="0" shrinkToFit="0"/>
    </xf>
    <xf fontId="33" fillId="0" borderId="0" xfId="0">
      <alignment vertical="center" textRotation="0" justifyLastLine="0" shrinkToFit="0"/>
    </xf>
    <xf fontId="22" fillId="0" borderId="0" xfId="0">
      <alignment horizontal="right" vertical="center" textRotation="0" justifyLastLine="0" shrinkToFit="0"/>
    </xf>
    <xf fontId="22" fillId="15" borderId="0" xfId="0">
      <alignment vertical="center" textRotation="0" justifyLastLine="0" shrinkToFit="0"/>
    </xf>
    <xf fontId="18" fillId="0" borderId="0" xfId="0">
      <alignment horizontal="center" vertical="center"/>
    </xf>
    <xf fontId="19" fillId="0" borderId="0" xfId="0">
      <alignment vertical="center" textRotation="0" indent="0" justifyLastLine="0" shrinkToFit="0"/>
    </xf>
    <xf fontId="19" fillId="0" borderId="0" xfId="0">
      <alignment vertical="center" textRotation="0" indent="0" justifyLastLine="0" shrinkToFit="0"/>
    </xf>
    <xf fontId="0" fillId="0" borderId="0" xfId="0">
      <alignment horizontal="center" vertical="center"/>
    </xf>
    <xf fontId="24" fillId="0" borderId="0" xfId="0">
      <alignment horizontal="center" vertical="center" textRotation="0" indent="0" justifyLastLine="0" shrinkToFit="0"/>
    </xf>
    <xf fontId="28" fillId="0" borderId="0" xfId="0">
      <alignment horizontal="center" vertical="center" textRotation="0" indent="0" justifyLastLine="0" shrinkToFit="0"/>
    </xf>
    <xf fontId="33" fillId="0" borderId="0" xfId="0">
      <alignment horizontal="center" vertical="center"/>
    </xf>
    <xf fontId="28" fillId="0" borderId="0" xfId="0">
      <alignment horizontal="center" vertical="center"/>
    </xf>
    <xf fontId="33" fillId="0" borderId="0" xfId="0">
      <alignment horizontal="center" vertical="center" textRotation="0" indent="0" justifyLastLine="0" shrinkToFit="0"/>
    </xf>
    <xf fontId="22" fillId="174" borderId="0" xfId="0">
      <alignment vertical="center"/>
    </xf>
    <xf fontId="22" fillId="175" borderId="0" xfId="0">
      <alignment vertical="center"/>
    </xf>
    <xf fontId="22" fillId="176" borderId="0" xfId="0">
      <alignment vertical="center"/>
    </xf>
    <xf fontId="22" fillId="177" borderId="0" xfId="0">
      <alignment vertical="center"/>
    </xf>
    <xf fontId="22" fillId="178" borderId="0" xfId="0">
      <alignment vertical="center"/>
    </xf>
    <xf fontId="22" fillId="179" borderId="0" xfId="0">
      <alignment vertical="center"/>
    </xf>
    <xf fontId="22" fillId="180" borderId="0" xfId="0">
      <alignment vertical="center"/>
    </xf>
    <xf fontId="22" fillId="181" borderId="0" xfId="0">
      <alignment vertical="center"/>
    </xf>
    <xf fontId="22" fillId="182" borderId="0" xfId="0">
      <alignment vertical="center"/>
    </xf>
    <xf fontId="22" fillId="183" borderId="0" xfId="0">
      <alignment vertical="center"/>
    </xf>
    <xf fontId="22" fillId="184" borderId="0" xfId="0">
      <alignment vertical="center"/>
    </xf>
    <xf fontId="22" fillId="185" borderId="0" xfId="0">
      <alignment vertical="center"/>
    </xf>
    <xf fontId="22" fillId="186" borderId="0" xfId="0">
      <alignment vertical="center"/>
    </xf>
    <xf fontId="22" fillId="187" borderId="0" xfId="0">
      <alignment vertical="center"/>
    </xf>
    <xf fontId="22" fillId="188" borderId="0" xfId="0">
      <alignment vertical="center"/>
    </xf>
    <xf fontId="22" fillId="189" borderId="0" xfId="0">
      <alignment vertical="center"/>
    </xf>
    <xf fontId="22" fillId="190" borderId="0" xfId="0">
      <alignment vertical="center"/>
    </xf>
    <xf fontId="22" fillId="191" borderId="0" xfId="0">
      <alignment vertical="center"/>
    </xf>
    <xf fontId="22" fillId="192" borderId="0" xfId="0">
      <alignment vertical="center"/>
    </xf>
    <xf fontId="22" fillId="193" borderId="0" xfId="0">
      <alignment vertical="center"/>
    </xf>
    <xf fontId="22" fillId="194" borderId="0" xfId="0">
      <alignment vertical="center"/>
    </xf>
    <xf fontId="22" fillId="195" borderId="0" xfId="0">
      <alignment vertical="center"/>
    </xf>
    <xf fontId="22" fillId="196" borderId="0" xfId="0">
      <alignment vertical="center"/>
    </xf>
    <xf fontId="22" fillId="197" borderId="0" xfId="0">
      <alignment vertical="center"/>
    </xf>
    <xf fontId="22" fillId="198" borderId="0" xfId="0">
      <alignment vertical="center"/>
    </xf>
    <xf fontId="22" fillId="199" borderId="0" xfId="0">
      <alignment vertical="center"/>
    </xf>
    <xf fontId="22" fillId="200" borderId="0" xfId="0">
      <alignment vertical="center"/>
    </xf>
    <xf fontId="22" fillId="201" borderId="0" xfId="0">
      <alignment vertical="center"/>
    </xf>
    <xf fontId="22" fillId="202" borderId="0" xfId="0">
      <alignment vertical="center"/>
    </xf>
    <xf fontId="22" fillId="203" borderId="0" xfId="0">
      <alignment vertical="center"/>
    </xf>
    <xf fontId="22" fillId="204" borderId="0" xfId="0">
      <alignment vertical="center"/>
    </xf>
    <xf fontId="22" fillId="205" borderId="0" xfId="0">
      <alignment vertical="center"/>
    </xf>
    <xf fontId="22" fillId="206" borderId="0" xfId="0">
      <alignment vertical="center"/>
    </xf>
    <xf fontId="22" fillId="207" borderId="0" xfId="0">
      <alignment vertical="center"/>
    </xf>
    <xf fontId="22" fillId="208" borderId="0" xfId="0">
      <alignment vertical="center"/>
    </xf>
    <xf fontId="22" fillId="209" borderId="0" xfId="0">
      <alignment vertical="center"/>
    </xf>
    <xf fontId="22" fillId="210" borderId="0" xfId="0">
      <alignment vertical="center"/>
    </xf>
    <xf fontId="22" fillId="211" borderId="0" xfId="0">
      <alignment vertical="center"/>
    </xf>
    <xf fontId="22" fillId="212" borderId="0" xfId="0">
      <alignment vertical="center"/>
    </xf>
    <xf fontId="22" fillId="213" borderId="0" xfId="0">
      <alignment vertical="center"/>
    </xf>
    <xf fontId="22" fillId="214" borderId="0" xfId="0">
      <alignment vertical="center"/>
    </xf>
    <xf fontId="22" fillId="215" borderId="0" xfId="0">
      <alignment vertical="center"/>
    </xf>
    <xf fontId="22" fillId="216" borderId="0" xfId="0">
      <alignment vertical="center"/>
    </xf>
    <xf fontId="22" fillId="217" borderId="0" xfId="0">
      <alignment vertical="center"/>
    </xf>
    <xf fontId="22" fillId="218" borderId="0" xfId="0">
      <alignment vertical="center"/>
    </xf>
    <xf fontId="22" fillId="219" borderId="0" xfId="0">
      <alignment vertical="center"/>
    </xf>
    <xf fontId="22" fillId="220" borderId="0" xfId="0">
      <alignment vertical="center"/>
    </xf>
    <xf fontId="22" fillId="221" borderId="0" xfId="0">
      <alignment vertical="center"/>
    </xf>
    <xf fontId="22" fillId="222" borderId="0" xfId="0">
      <alignment vertical="center"/>
    </xf>
    <xf fontId="22" fillId="223" borderId="0" xfId="0">
      <alignment vertical="center"/>
    </xf>
    <xf fontId="22" fillId="224" borderId="0" xfId="0">
      <alignment vertical="center"/>
    </xf>
    <xf fontId="22" fillId="225" borderId="0" xfId="0">
      <alignment vertical="center"/>
    </xf>
    <xf fontId="22" fillId="226" borderId="0" xfId="0">
      <alignment vertical="center"/>
    </xf>
    <xf fontId="22" fillId="227" borderId="0" xfId="0">
      <alignment vertical="center"/>
    </xf>
    <xf fontId="22" fillId="228" borderId="0" xfId="0">
      <alignment vertical="center"/>
    </xf>
    <xf fontId="22" fillId="229" borderId="0" xfId="0">
      <alignment vertical="center"/>
    </xf>
    <xf fontId="22" fillId="230" borderId="0" xfId="0">
      <alignment vertical="center"/>
    </xf>
    <xf fontId="22" fillId="231" borderId="0" xfId="0">
      <alignment vertical="center"/>
    </xf>
    <xf fontId="22" fillId="232" borderId="0" xfId="0">
      <alignment vertical="center"/>
    </xf>
    <xf fontId="22" fillId="233" borderId="0" xfId="0">
      <alignment vertical="center"/>
    </xf>
    <xf fontId="22" fillId="234" borderId="0" xfId="0">
      <alignment vertical="center"/>
    </xf>
    <xf fontId="22" fillId="235" borderId="0" xfId="0">
      <alignment vertical="center"/>
    </xf>
    <xf fontId="22" fillId="236" borderId="0" xfId="0">
      <alignment vertical="center"/>
    </xf>
    <xf fontId="22" fillId="237" borderId="0" xfId="0">
      <alignment vertical="center"/>
    </xf>
    <xf fontId="22" fillId="238" borderId="0" xfId="0">
      <alignment vertical="center"/>
    </xf>
    <xf fontId="22" fillId="239" borderId="0" xfId="0">
      <alignment vertical="center"/>
    </xf>
    <xf fontId="22" fillId="240" borderId="0" xfId="0">
      <alignment vertical="center"/>
    </xf>
    <xf fontId="22" fillId="241" borderId="0" xfId="0">
      <alignment vertical="center"/>
    </xf>
    <xf fontId="22" fillId="242" borderId="0" xfId="0">
      <alignment vertical="center"/>
    </xf>
    <xf fontId="22" fillId="243" borderId="0" xfId="0">
      <alignment vertical="center"/>
    </xf>
    <xf fontId="22" fillId="244" borderId="0" xfId="0">
      <alignment vertical="center"/>
    </xf>
    <xf fontId="22" fillId="245" borderId="0" xfId="0">
      <alignment vertical="center"/>
    </xf>
    <xf fontId="22" fillId="246" borderId="0" xfId="0">
      <alignment vertical="center"/>
    </xf>
    <xf fontId="22" fillId="247" borderId="0" xfId="0">
      <alignment vertical="center"/>
    </xf>
    <xf fontId="22" fillId="248" borderId="0" xfId="0">
      <alignment vertical="center"/>
    </xf>
    <xf fontId="22" fillId="249" borderId="0" xfId="0">
      <alignment vertical="center"/>
    </xf>
    <xf fontId="22" fillId="250" borderId="0" xfId="0">
      <alignment vertical="center"/>
    </xf>
    <xf fontId="22" fillId="251" borderId="0" xfId="0">
      <alignment vertical="center"/>
    </xf>
    <xf fontId="22" fillId="252" borderId="0" xfId="0">
      <alignment vertical="center"/>
    </xf>
    <xf fontId="22" fillId="253" borderId="0" xfId="0">
      <alignment vertical="center"/>
    </xf>
    <xf fontId="22" fillId="254" borderId="0" xfId="0">
      <alignment vertical="center"/>
    </xf>
    <xf fontId="22" fillId="255" borderId="0" xfId="0">
      <alignment vertical="center"/>
    </xf>
    <xf fontId="22" fillId="256" borderId="0" xfId="0">
      <alignment vertical="center"/>
    </xf>
    <xf fontId="22" fillId="257" borderId="0" xfId="0">
      <alignment vertical="center"/>
    </xf>
    <xf fontId="22" fillId="258" borderId="0" xfId="0">
      <alignment vertical="center"/>
    </xf>
    <xf fontId="22" fillId="259" borderId="0" xfId="0">
      <alignment vertical="center"/>
    </xf>
    <xf fontId="22" fillId="260" borderId="0" xfId="0">
      <alignment vertical="center"/>
    </xf>
    <xf fontId="22" fillId="261" borderId="0" xfId="0">
      <alignment vertical="center"/>
    </xf>
    <xf fontId="22" fillId="262" borderId="0" xfId="0">
      <alignment vertical="center"/>
    </xf>
    <xf fontId="22" fillId="263" borderId="0" xfId="0">
      <alignment vertical="center"/>
    </xf>
    <xf fontId="22" fillId="264" borderId="0" xfId="0">
      <alignment vertical="center"/>
    </xf>
    <xf fontId="22" fillId="265" borderId="0" xfId="0">
      <alignment vertical="center"/>
    </xf>
    <xf fontId="22" fillId="266" borderId="0" xfId="0">
      <alignment vertical="center"/>
    </xf>
    <xf fontId="18" fillId="0" borderId="0" xfId="0">
      <alignment vertical="center"/>
    </xf>
    <xf fontId="0" fillId="0" borderId="0" xfId="0">
      <alignment vertical="center" wrapText="1"/>
    </xf>
    <xf fontId="37" fillId="0" borderId="0" xfId="0">
      <alignment vertical="center"/>
    </xf>
    <xf fontId="38" fillId="0" borderId="0" xfId="0">
      <alignment vertical="center" wrapText="0"/>
    </xf>
  </cellXfs>
  <cellStyles>
    <cellStyle name="常规" xfId="0" builtinId="0"/>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5" Type="http://schemas.openxmlformats.org/officeDocument/2006/relationships/worksheet" Target="worksheets/sheet3.xml" /><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5" Type="http://schemas.openxmlformats.org/officeDocument/2006/relationships/hyperlink" Target="https://www.cnblogs.com/cnyzz/p/19434962" TargetMode="External"/><Relationship Id="rId4" Type="http://schemas.openxmlformats.org/officeDocument/2006/relationships/hyperlink" Target="https://pzprxs.vercel.app/list.html" TargetMode="External"/><Relationship Id="rId3" Type="http://schemas.openxmlformats.org/officeDocument/2006/relationships/hyperlink" Target="https://puzz.link/list.html" TargetMode="External"/><Relationship Id="rId2" Type="http://schemas.openxmlformats.org/officeDocument/2006/relationships/hyperlink" Target="https://wpcunofficial.miraheze.org/" TargetMode="External"/><Relationship Id="rId0" Type="http://schemas.openxmlformats.org/officeDocument/2006/relationships/hyperlink" Target="https://docs.google.com/document/d/11U3UAH6V7k9JTpF_WIKLiREc5KYbJGQP89EUBMLtjW0/edit?tab=t.0" TargetMode="External"/><Relationship Id="rId1" Type="http://schemas.openxmlformats.org/officeDocument/2006/relationships/hyperlink" Target="https://docs.google.com/document/d/1lSWgXA0uULTc29jFTfz8qCG7-krjZWzWoCh0ucNzUts/edit?tab=t.0#heading=h.h37qg86bv1ml" TargetMode="External"/></Relationships>
</file>

<file path=xl/worksheets/_rels/sheet3.xml.rels><?xml version="1.0" encoding="UTF-8" standalone="yes"?><Relationships xmlns="http://schemas.openxmlformats.org/package/2006/relationships"><Relationship Id="rId97" Type="http://schemas.openxmlformats.org/officeDocument/2006/relationships/hyperlink" Target="https://pzplus.tck.mn/p?wagiri/7/7/u62em3dido6cg2cmg1a1l2j2o" TargetMode="External"/><Relationship Id="rId95" Type="http://schemas.openxmlformats.org/officeDocument/2006/relationships/hyperlink" Target="https://puzz.link/p?slalom/d/17/17/e14271331417241418161516251526271415251615192f13341313331314152j151314141333331718241624171314261428172814133427261a15131713331524171526252c1414152iu2b4c3c4d3dg1bzk/0" TargetMode="External"/><Relationship Id="rId94" Type="http://schemas.openxmlformats.org/officeDocument/2006/relationships/hyperlink" Target="https://pzplus.tck.mn/p?koburin/b/10/10/.kau.tcbrccrcuci./" TargetMode="External"/><Relationship Id="rId93" Type="http://schemas.openxmlformats.org/officeDocument/2006/relationships/hyperlink" Target="https://pzplus.tck.mn/p?nurikabe/10/10/s8p6l6j4g5g7i3zi3zk7k" TargetMode="External"/><Relationship Id="rId92" Type="http://schemas.openxmlformats.org/officeDocument/2006/relationships/hyperlink" Target="https://pzplus.tck.mn/p?norinori/10/10/1c6nlmpdjhc1419951u2f2iv0uf5vqvmvt5u" TargetMode="External"/><Relationship Id="rId91" Type="http://schemas.openxmlformats.org/officeDocument/2006/relationships/hyperlink" Target="https://pzplus.tck.mn/p?starbattle/10/10/2/10rhmcugkogd6dhn124806r6e98omedacg2c" TargetMode="External"/><Relationship Id="rId90" Type="http://schemas.openxmlformats.org/officeDocument/2006/relationships/hyperlink" Target="https://pzplus.tck.mn/p?putteria/10/10/65d7ku76djcsktimkjdu5c3mrrmib65tsi6kzzzzz" TargetMode="External"/><Relationship Id="rId9" Type="http://schemas.openxmlformats.org/officeDocument/2006/relationships/hyperlink" Target="https://pzplus.tck.mn/p?cocktail/10/10/gi94a8khp3i70e0s1oc0vu00vu00ue00uf0044444044234444" TargetMode="External"/><Relationship Id="rId88" Type="http://schemas.openxmlformats.org/officeDocument/2006/relationships/hyperlink" Target="https://pzplus.tck.mn/p?castle/10/10/f00.g231g141d141b022d042g241d212b112d141g042d022b241d241g131g00.f" TargetMode="External"/><Relationship Id="rId86" Type="http://schemas.openxmlformats.org/officeDocument/2006/relationships/hyperlink" Target="https://pzplus.tck.mn/p?creek/10/10/icm22167cg87do7dg8ckcg77cg38ck8166dibh77c88cp" TargetMode="External"/><Relationship Id="rId83" Type="http://schemas.openxmlformats.org/officeDocument/2006/relationships/hyperlink" Target="https://pzplus.tck.mn/p?angleloop/9/9/0a4c6a2bc1a90a0c1b0b93a0b1b0a90a1ca2a6c4a0" TargetMode="External"/><Relationship Id="rId82" Type="http://schemas.openxmlformats.org/officeDocument/2006/relationships/hyperlink" Target="https://pzplus.tck.mn/p?country/10/10/akl91973e7bshlsl9a007uvi2cti8ph6fp0062g47h443h6g54g33" TargetMode="External"/><Relationship Id="rId81" Type="http://schemas.openxmlformats.org/officeDocument/2006/relationships/hyperlink" Target="https://pzplus.tck.mn/p?creek/10/10/kbj3cn632dudidhci7bdidu328cgelblb" TargetMode="External"/><Relationship Id="rId80" Type="http://schemas.openxmlformats.org/officeDocument/2006/relationships/hyperlink" Target="https://pzplus.tck.mn/p?cbanana/10/10/n7h34n56i5zo34n56zi7n" TargetMode="External"/><Relationship Id="rId8" Type="http://schemas.openxmlformats.org/officeDocument/2006/relationships/hyperlink" Target="https://pzplus.tck.mn/p?goishi/9/9/vvnf5cnbtrnqvrvvg" TargetMode="External"/><Relationship Id="rId40" Type="http://schemas.openxmlformats.org/officeDocument/2006/relationships/hyperlink" Target="https://pzplus.tck.mn/p?ringring/12/12/30ef0a2y4437v0" TargetMode="External"/><Relationship Id="rId96" Type="http://schemas.openxmlformats.org/officeDocument/2006/relationships/hyperlink" Target="https://pzplus.tck.mn/p?dbchoco/10/10/0usususu0000f7f7f7f0g4w6i4s2h1zp5r6q3i" TargetMode="External"/><Relationship Id="rId11" Type="http://schemas.openxmlformats.org/officeDocument/2006/relationships/hyperlink" Target="https://pzplus.tck.mn/p?guidearrow/8/8/11pepcpehcpdm" TargetMode="External"/><Relationship Id="rId51" Type="http://schemas.openxmlformats.org/officeDocument/2006/relationships/hyperlink" Target="https://pzplus.tck.mn/p?mines/8/8/g43g2h2i5k6i6g3g5g4n1g3g2g3i4k2i2h3g12g" TargetMode="External"/><Relationship Id="rId3" Type="http://schemas.openxmlformats.org/officeDocument/2006/relationships/hyperlink" Target="https://pzplus.tck.mn/p?box/6/6/7a5f7dbj7d98" TargetMode="External"/><Relationship Id="rId70" Type="http://schemas.openxmlformats.org/officeDocument/2006/relationships/hyperlink" Target="https://pzplus.tck.mn/p?shikaku/10/10/s4h9j8l8k7k6l4jal4k8k8l8jch4s" TargetMode="External"/><Relationship Id="rId29" Type="http://schemas.openxmlformats.org/officeDocument/2006/relationships/hyperlink" Target="https://pzplus.tck.mn/p?easyasabc/6/6/4/h23l441h1g3g34i" TargetMode="External"/><Relationship Id="rId28" Type="http://schemas.openxmlformats.org/officeDocument/2006/relationships/hyperlink" Target="https://pzplus.tck.mn/p?slashpack/9/9/g2g2h2h1l2k2t3h3j3t3h1h1i3h1h1j" TargetMode="External"/><Relationship Id="rId7" Type="http://schemas.openxmlformats.org/officeDocument/2006/relationships/hyperlink" Target="https://pzplus.tck.mn/p?kramma/c/7/7/b026c6aib232il10i" TargetMode="External"/><Relationship Id="rId27" Type="http://schemas.openxmlformats.org/officeDocument/2006/relationships/hyperlink" Target="https://pzplus.tck.mn/p?geradeweg/10/10/k4i2g123zh2m2i2h2i1m3zh234g3i1k" TargetMode="External"/><Relationship Id="rId4" Type="http://schemas.openxmlformats.org/officeDocument/2006/relationships/hyperlink" Target="https://pzplus.tck.mn/p?cave/9/9/g2g2h3p32g2i3l6i3o5i6l5i4g45p5h4g4g" TargetMode="External"/><Relationship Id="rId10" Type="http://schemas.openxmlformats.org/officeDocument/2006/relationships/hyperlink" Target="https://pzplus.tck.mn/p?lookair/10/10/1d3x1g4m0a1b1e3c1h2m2h2" TargetMode="External"/><Relationship Id="rId26" Type="http://schemas.openxmlformats.org/officeDocument/2006/relationships/hyperlink" Target="https://pzplus.tck.mn/p?maxi/8/8/i4r6h08ndg600o07dvr60pjg336g572g2" TargetMode="External"/><Relationship Id="rId24" Type="http://schemas.openxmlformats.org/officeDocument/2006/relationships/hyperlink" Target="https://pzplus.tck.mn/p?tetrochain/8/8/c44d11l33c12l11c12l33d41c" TargetMode="External"/><Relationship Id="rId23" Type="http://schemas.openxmlformats.org/officeDocument/2006/relationships/hyperlink" Target="https://pzplus.tck.mn/p?statuepark/12/12/j00696231l9i00006639i906000i31a0i660103f30f0001i//p" TargetMode="External"/><Relationship Id="rId99" Type="http://schemas.openxmlformats.org/officeDocument/2006/relationships/hyperlink" Target="https://pzplus.tck.mn/p?lightshadow/7/7/k1haq11g1gagaaq1hak" TargetMode="External"/><Relationship Id="rId13" Type="http://schemas.openxmlformats.org/officeDocument/2006/relationships/hyperlink" Target="https://pzplus.tck.mn/p?reflect/10/10/d37h34b520c24i40f26j3915j5f27i35c535b5h23d" TargetMode="External"/><Relationship Id="rId33" Type="http://schemas.openxmlformats.org/officeDocument/2006/relationships/hyperlink" Target="https://pzplus.tck.mn/p?curvedata/11/7/zm=l0164=5322l=zm/2/3/8b1/2/3/9b1/2/3/391/3/4/7e1261/3/4/288f01/2/2/b0/2/3/320" TargetMode="External"/><Relationship Id="rId34" Type="http://schemas.openxmlformats.org/officeDocument/2006/relationships/hyperlink" Target="https://pzplus.tck.mn/p?yosenabe/10/10/s8belfmhius0mklkmm1nl4m4mi4n4i81iaw5t3zi4j1j5o4s33j2p" TargetMode="External"/><Relationship Id="rId47" Type="http://schemas.openxmlformats.org/officeDocument/2006/relationships/hyperlink" Target="https://pzplus.tck.mn/p?doubleback/10/10/04otgr24c8jkjp35407qo447rgofvu60hr3s" TargetMode="External"/><Relationship Id="rId85" Type="http://schemas.openxmlformats.org/officeDocument/2006/relationships/hyperlink" Target="https://pzplus.tck.mn/p?makaro/8/8/5evelrlbnungu9vdetdurdh0oejejck2idjbi2kbjejbo" TargetMode="External"/><Relationship Id="rId72" Type="http://schemas.openxmlformats.org/officeDocument/2006/relationships/hyperlink" Target="https://pzplus.tck.mn/p?dosufuwa/10/10/289a8q8afua2b2ai28vnvtfvfn7stuvunvtvth4h" TargetMode="External"/><Relationship Id="rId19" Type="http://schemas.openxmlformats.org/officeDocument/2006/relationships/hyperlink" Target="https://pzplus.tck.mn/p?icelom/a/10/10/ped51ivn5vc9e75pnc78sdgchbhet1jfg-10q3hag5i4g2j7g6q8h9q/23/34" TargetMode="External"/><Relationship Id="rId98" Type="http://schemas.openxmlformats.org/officeDocument/2006/relationships/hyperlink" Target="https://pzplus.tck.mn/p?pentopia/10/10/kcwfs9hax1hfs6w8k//p" TargetMode="External"/><Relationship Id="rId12" Type="http://schemas.openxmlformats.org/officeDocument/2006/relationships/hyperlink" Target="https://pzplus.tck.mn/p?nothing/10/10/k8iud3nti5uabn7fisn2f2kvdvaasa8v3q8q" TargetMode="External"/><Relationship Id="rId41" Type="http://schemas.openxmlformats.org/officeDocument/2006/relationships/hyperlink" Target="https://pzplus.tck.mn/p?myopia/8/8/2ialci3ai6jci9j3i9j5icbial3i5" TargetMode="External"/><Relationship Id="rId32" Type="http://schemas.openxmlformats.org/officeDocument/2006/relationships/hyperlink" Target="https://pzplus.tck.mn/p?nurimisaki/9/9/i4i2zg2o4i4p3j2v3j" TargetMode="External"/><Relationship Id="rId2" Type="http://schemas.openxmlformats.org/officeDocument/2006/relationships/hyperlink" Target="https://pzplus.tck.mn/p?martini/10/10/47774uftc6nuf4sss4fs6e09n6c6cti0ec7u3h0i0g0i2j.i3l0m.i0v.i.m0l.i2j0i0g0i.h3" TargetMode="External"/><Relationship Id="rId61" Type="http://schemas.openxmlformats.org/officeDocument/2006/relationships/hyperlink" Target="https://pzplus.tck.mn/p?barns/12/10/0031ssp7jou00f3psj77go000400000g00000000002000004000000g000040000000" TargetMode="External"/><Relationship Id="rId18" Type="http://schemas.openxmlformats.org/officeDocument/2006/relationships/hyperlink" Target="https://pzplus.tck.mn/p?paintarea/10/10/uvtvujuvnuuvvvtfnrbntvrvvvtvfvutvvvth0a1p2d2h4a2o1g1e2a1e2r" TargetMode="External"/><Relationship Id="rId36" Type="http://schemas.openxmlformats.org/officeDocument/2006/relationships/hyperlink" Target="https://pzplus.tck.mn/p?kropki/5/5/f0956043065309" TargetMode="External"/><Relationship Id="rId49" Type="http://schemas.openxmlformats.org/officeDocument/2006/relationships/hyperlink" Target="https://pzplus.tck.mn/p?squarejam/10/10/r1zp1i1zl1h1zh" TargetMode="External"/><Relationship Id="rId89" Type="http://schemas.openxmlformats.org/officeDocument/2006/relationships/hyperlink" Target="https://pzplus.tck.mn/p?fivecells/10/10/2b23n1a2c11a2a13f1m1c1g1b2c33b2b22e3e2a2f" TargetMode="External"/><Relationship Id="rId75" Type="http://schemas.openxmlformats.org/officeDocument/2006/relationships/hyperlink" Target="https://pzplus.tck.mn/p?walllogic/8/8/i5k4j4k2k7j45j4k5k5j3k4i" TargetMode="External"/><Relationship Id="rId30" Type="http://schemas.openxmlformats.org/officeDocument/2006/relationships/hyperlink" Target="https://pzplus.tck.mn/p?kuroclone/10/10/0060hqm5a1850c6b00102qtl046k181gm48rp46z36o25a44v35o" TargetMode="External"/><Relationship Id="rId84" Type="http://schemas.openxmlformats.org/officeDocument/2006/relationships/hyperlink" Target="https://pzplus.tck.mn/p?sashigane/8/8/qhl5u9nijphhn7u3ljq" TargetMode="External"/><Relationship Id="rId21" Type="http://schemas.openxmlformats.org/officeDocument/2006/relationships/hyperlink" Target="https://pzplus.tck.mn/p?symmarea/10/10/5o2g3mag5g8lah7g7j5g7h2g1hag5h6g6j2g6halbg1g2m5g1o3" TargetMode="External"/><Relationship Id="rId39" Type="http://schemas.openxmlformats.org/officeDocument/2006/relationships/hyperlink" Target="https://pzplus.tck.mn/p?ayeheya/10/10/8gh12284g9112244407go07v0000vv0000vvg24i6h4h" TargetMode="External"/><Relationship Id="rId53" Type="http://schemas.openxmlformats.org/officeDocument/2006/relationships/hyperlink" Target="https://pzplus.tck.mn/p?aquapelago/11/11/3zo3t4zo4t5zo5" TargetMode="External"/><Relationship Id="rId25" Type="http://schemas.openxmlformats.org/officeDocument/2006/relationships/hyperlink" Target="https://pzplus.tck.mn/p?yajikazu/10/10/a23f34e422442d432343l412241a11c32j32c12a432143l411441d422142e12f14a" TargetMode="External"/><Relationship Id="rId0" Type="http://schemas.openxmlformats.org/officeDocument/2006/relationships/hyperlink" Target="https://pzplus.tck.mn/p?heteromino/8/8/j77777e7g7e7a7e7a7a7d7l" TargetMode="External"/><Relationship Id="rId14" Type="http://schemas.openxmlformats.org/officeDocument/2006/relationships/hyperlink" Target="https://pzplus.tck.mn/p?cbblock/12/12/l7in9bq0v2nlfdl7ajt1m0u0rkbu7v09k7q0ts801rvg6vgv0fe6u" TargetMode="External"/><Relationship Id="rId17" Type="http://schemas.openxmlformats.org/officeDocument/2006/relationships/hyperlink" Target="https://pzplus.tck.mn/p?dominion/18/10/g-13g-15g-10g5g-12m4zs-11t-11j4l5h5j4l-15j5h5l-13j5t-13zs2m-13g9g-1ag5g4g" TargetMode="External"/><Relationship Id="rId68" Type="http://schemas.openxmlformats.org/officeDocument/2006/relationships/hyperlink" Target="https://pzplus.tck.mn/p?detour/8/8/31cioghkj8c02gh43vs28gk07a255g3g" TargetMode="External"/><Relationship Id="rId1" Type="http://schemas.openxmlformats.org/officeDocument/2006/relationships/hyperlink" Target="https://pzplus.tck.mn/p?toichika/6/6/aljii4v7k47vz9" TargetMode="External"/><Relationship Id="rId15" Type="http://schemas.openxmlformats.org/officeDocument/2006/relationships/hyperlink" Target="https://pzplus.tck.mn/p?nanro/10/10/idcqqhlfaultbq7leae01ss3s03v9g1v9v3g2h1h2h4z2h3h4h2z2h3h3h1z2h2h2h2" TargetMode="External"/><Relationship Id="rId16" Type="http://schemas.openxmlformats.org/officeDocument/2006/relationships/hyperlink" Target="https://pzplus.tck.mn/p?kinkonkan/8/8/2kiuavl7kik0g9r4qglidp0gaAfDCcDaBhBbCAc12325531" TargetMode="External"/><Relationship Id="rId31" Type="http://schemas.openxmlformats.org/officeDocument/2006/relationships/hyperlink" Target="https://pzplus.tck.mn/p?shakashaka/10/10/iddzjbdzjddzjbcg" TargetMode="External"/><Relationship Id="rId87" Type="http://schemas.openxmlformats.org/officeDocument/2006/relationships/hyperlink" Target="https://puzz.link/p?simpleloop/v:/10/10/000064040000005k0000" TargetMode="External"/><Relationship Id="rId71" Type="http://schemas.openxmlformats.org/officeDocument/2006/relationships/hyperlink" Target="https://pzplus.tck.mn/p?cojun/8/8/6dfmrfalaqmgdgta9opuer00k2h4s3k3l3k1s3h2k" TargetMode="External"/><Relationship Id="rId20" Type="http://schemas.openxmlformats.org/officeDocument/2006/relationships/hyperlink" Target="https://pzplus.tck.mn/p?dotchi/10/10/10204080g10204080gvv000000vv000000vv5443367111577333421144563341114750" TargetMode="External"/><Relationship Id="rId22" Type="http://schemas.openxmlformats.org/officeDocument/2006/relationships/hyperlink" Target="https://pzplus.tck.mn/p?simplegako/5/5/h314k1j3j6j" TargetMode="External"/><Relationship Id="rId6" Type="http://schemas.openxmlformats.org/officeDocument/2006/relationships/hyperlink" Target="https://pzplus.tck.mn/p?nagare/10/10/d9a4d9d5a7b4a9g5e7e2a5c76c5g6e5g8d6a5d8d3a8d" TargetMode="External"/><Relationship Id="rId45" Type="http://schemas.openxmlformats.org/officeDocument/2006/relationships/hyperlink" Target="https://pzplus.tck.mn/p?tasquare/10/10/1h2q3l5v4l6j.r8o9i..g.o.i.j" TargetMode="External"/><Relationship Id="rId60" Type="http://schemas.openxmlformats.org/officeDocument/2006/relationships/hyperlink" Target="https://pzplus.tck.mn/p?parquet/12/12/802223252362171174236520602863652362771174236520626223652362171174147411056323080280636363717111636563222620652363117171656365602280036303660000" TargetMode="External"/><Relationship Id="rId46" Type="http://schemas.openxmlformats.org/officeDocument/2006/relationships/hyperlink" Target="https://pzplus.tck.mn/p?aqre/10/10/l9ail5ib4m9d2qllba0007fo07ho1vcf000016146145552262316" TargetMode="External"/><Relationship Id="rId35" Type="http://schemas.openxmlformats.org/officeDocument/2006/relationships/hyperlink" Target="https://pzplus.tck.mn/p?wafusuma/6/6/g.g.h.g.h.g.h.g.h.g.h.g.m4.....l...5.5l" TargetMode="External"/><Relationship Id="rId48" Type="http://schemas.openxmlformats.org/officeDocument/2006/relationships/hyperlink" Target="https://pzplus.tck.mn/p?tapaloop/10/10/sajmajtajhajjajvajkajkajgajvajjajh" TargetMode="External"/><Relationship Id="rId74" Type="http://schemas.openxmlformats.org/officeDocument/2006/relationships/hyperlink" Target="https://pzplus.tck.mn/p?usoone/10/10/4k98ig80g4g90i10200000vv00vv0000vv00gdiag80dqcgchdjdhco34c0djdhccjccgcg" TargetMode="External"/><Relationship Id="rId37" Type="http://schemas.openxmlformats.org/officeDocument/2006/relationships/hyperlink" Target="https://pzplus.tck.mn/p?evolmino/10/10/q907l02pi660010000000000000000i620r00a005x00z39394435343zl06b17zcj9a4" TargetMode="External"/><Relationship Id="rId5" Type="http://schemas.openxmlformats.org/officeDocument/2006/relationships/hyperlink" Target="https://pzprxs.vercel.app/p?kurarin/10/10/pcg2g8ch8g1o1h8g8j1n1icg8h1q2h4k22l8g22h8k22lcg2q3i8g4h3n3k8g8g3o3h8h482h4p" TargetMode="External"/><Relationship Id="rId38" Type="http://schemas.openxmlformats.org/officeDocument/2006/relationships/hyperlink" Target="https://pzplus.tck.mn/p?nuribou/9/9/p.g5g.g.q.k6w-11q.g.g.g.p" TargetMode="External"/><Relationship Id="rId50" Type="http://schemas.openxmlformats.org/officeDocument/2006/relationships/hyperlink" Target="https://pzplus.tck.mn/p?sukoro/8/8/c3k2c2a3g2d2b4e1c22b3232i" TargetMode="External"/><Relationship Id="rId76" Type="http://schemas.openxmlformats.org/officeDocument/2006/relationships/hyperlink" Target="https://pzplus.tck.mn/p?midloop/10/10/zz3fzg3flffhfkfzmfxft99fwfs7fhdfzfzzm" TargetMode="External"/><Relationship Id="rId52" Type="http://schemas.openxmlformats.org/officeDocument/2006/relationships/hyperlink" Target="https://pzplus.tck.mn/p?mochikoro/10/10/j6m2i2q2h2v3h1v2h1q3i1m4j" TargetMode="External"/><Relationship Id="rId54" Type="http://schemas.openxmlformats.org/officeDocument/2006/relationships/hyperlink" Target="https://pzplus.tck.mn/p?yajilin-regions/10/10/182h92i4k98ig4080g00vo077o0000vv00v03g331121h51" TargetMode="External"/><Relationship Id="rId42" Type="http://schemas.openxmlformats.org/officeDocument/2006/relationships/hyperlink" Target="https://puzz.link/p?pentominous/10/10/zzzzzg4000000000000001q01g0g00100g001g0g1" TargetMode="External"/><Relationship Id="rId55" Type="http://schemas.openxmlformats.org/officeDocument/2006/relationships/hyperlink" Target="https://pzplus.tck.mn/p?firefly/10/10/2.b33b2.b3.b43b33b31e42b4.h1.b33h2.b4.h12b1.h32b1.e41b2.b2.b41b11b31b1./" TargetMode="External"/><Relationship Id="rId56" Type="http://schemas.openxmlformats.org/officeDocument/2006/relationships/hyperlink" Target="https://pzplus.tck.mn/p?tentaisho/10/10/g8ehejelezw64etceziegezekezzgejezgeuet66eke" TargetMode="External"/><Relationship Id="rId43" Type="http://schemas.openxmlformats.org/officeDocument/2006/relationships/hyperlink" Target="https://pzplus.tck.mn/p?kakuro/6/6/lf--5o68l6go5bnh-m-co-gl4BC6367c" TargetMode="External"/><Relationship Id="rId57" Type="http://schemas.openxmlformats.org/officeDocument/2006/relationships/hyperlink" Target="https://pzplus.tck.mn/p?bosanowa/6/8/ppub0l2rtszg86n34u" TargetMode="External"/><Relationship Id="rId44" Type="http://schemas.openxmlformats.org/officeDocument/2006/relationships/hyperlink" Target="https://pzplus.tck.mn/p?tents/10/10/h1j2rzi20201a262393010b92" TargetMode="External"/><Relationship Id="rId58" Type="http://schemas.openxmlformats.org/officeDocument/2006/relationships/hyperlink" Target="https://pzplus.tck.mn/p?kurotto/10/10/j3g1j2g.i3g15i3p4j.g3i4g3h2g2i3g3j2p1i13g.i1g4j6g5j" TargetMode="External"/><Relationship Id="rId59" Type="http://schemas.openxmlformats.org/officeDocument/2006/relationships/hyperlink" Target="https://pzplus.tck.mn/p?scrin/9/9/g2m1h4p3j3zi6j3p3h2m1g" TargetMode="External"/><Relationship Id="rId62" Type="http://schemas.openxmlformats.org/officeDocument/2006/relationships/hyperlink" Target="https://pzplus.tck.mn/p?slither/10/10/h1bl5ck702032cbjcch1b3bhddjd201126dk8bl3c" TargetMode="External"/><Relationship Id="rId63" Type="http://schemas.openxmlformats.org/officeDocument/2006/relationships/hyperlink" Target="https://pzplus.tck.mn/p?fillomino/9/9/6538h14m22k2l2i2l2l2i2l2k61m53h3824" TargetMode="External"/><Relationship Id="rId64" Type="http://schemas.openxmlformats.org/officeDocument/2006/relationships/hyperlink" Target="https://pzplus.tck.mn/p?doppelblock/6/6/555555555555u4j2u" TargetMode="External"/><Relationship Id="rId65" Type="http://schemas.openxmlformats.org/officeDocument/2006/relationships/hyperlink" Target="https://pzplus.tck.mn/p?akari/10/11/uakckchdkbkchck.mchckckcs" TargetMode="External"/><Relationship Id="rId66" Type="http://schemas.openxmlformats.org/officeDocument/2006/relationships/hyperlink" Target="https://pzplus.tck.mn/p?aquarium/8/8/cclqmmmlqj30bpt8emn1bpt0/3g3553g3442h244" TargetMode="External"/><Relationship Id="rId67" Type="http://schemas.openxmlformats.org/officeDocument/2006/relationships/hyperlink" Target="https://pzplus.tck.mn/p?lits/10/10/4il9aj59mlan98jaic62ps23eoi6eb0gr64h" TargetMode="External"/><Relationship Id="rId69" Type="http://schemas.openxmlformats.org/officeDocument/2006/relationships/hyperlink" Target="https://pzplus.tck.mn/p?hashi/9/9/2h4g3h3j2h2g3g1k2i1g2g3g4g3g4g4g5g3g2g2i2k1g2g3h1j3h3g4h2" TargetMode="External"/><Relationship Id="rId73" Type="http://schemas.openxmlformats.org/officeDocument/2006/relationships/hyperlink" Target="https://pzplus.tck.mn/p?hinge/10/10/24kp9uidaql5b57jea641p820f0060fn2r1o554414154g1g32" TargetMode="External"/><Relationship Id="rId77" Type="http://schemas.openxmlformats.org/officeDocument/2006/relationships/hyperlink" Target="https://pzplus.tck.mn/p?araf/8/8/2g3g6g3h2g4g2g54g3g6g3h2g3g4g32g2g4g5h4g5g2g77g5g2g4h5g2g7g5" TargetMode="External"/><Relationship Id="rId78" Type="http://schemas.openxmlformats.org/officeDocument/2006/relationships/hyperlink" Target="https://pzplus.tck.mn/p?tateyoko/10/10/n2i2x4i42npn2nxi23n2nqi21non3pn1i3q1i52pi3pxn2nxn2i21n1x3i4pn3qi221pn1i31pi3qn2n2i3xi22n" TargetMode="External"/><Relationship Id="rId79" Type="http://schemas.openxmlformats.org/officeDocument/2006/relationships/hyperlink" Target="https://pzplus.tck.mn/p?stostone/8/8/000c63hutm8g03vj0vgco260cj236h" TargetMode="External"/></Relationships>
</file>

<file path=xl/worksheets/sheet1.xml><?xml version="1.0" encoding="utf-8"?>
<worksheet xmlns:r="http://schemas.openxmlformats.org/officeDocument/2006/relationships" xmlns="http://schemas.openxmlformats.org/spreadsheetml/2006/main">
  <sheetPr codeName="分类">
    <tabColor/>
  </sheetPr>
  <dimension ref="D206"/>
  <sheetViews>
    <sheetView showGridLines="1" workbookViewId="0"/>
  </sheetViews>
  <sheetFormatPr baseColWidth="13" defaultRowHeight="18" customHeight="1"/>
  <cols>
    <col min="1" max="1" width="16.9922" style="7" customWidth="1"/>
    <col min="2" max="2" width="4.45312" style="5" customWidth="1"/>
    <col min="3" max="3" width="9.21094" style="5" customWidth="1"/>
    <col min="4" max="4" width="73.1406" style="7" customWidth="1"/>
    <col min="5" max="7" width="13.6719" style="7"/>
    <col min="8" max="8" width="16.0508" style="7" customWidth="1"/>
    <col min="9" max="26" width="13.6719" style="7"/>
  </cols>
  <sheetData>
    <row r="1" spans="1:26" s="606" customFormat="1" ht="25.5" customHeight="1">
      <c r="A1" s="4" t="s">
        <v>1</v>
      </c>
      <c r="B1" s="4" t="s">
        <v>2</v>
      </c>
      <c r="C1" s="4" t="s">
        <v>3</v>
      </c>
      <c r="D1" s="4" t="s">
        <v>4</v>
      </c>
      <c r="E1" s="5" t="s"/>
      <c r="F1" s="6" t="s">
        <v>5</v>
      </c>
      <c r="G1" s="5" t="s"/>
      <c r="H1" s="5" t="s"/>
      <c r="I1" s="7" t="s"/>
      <c r="J1" s="5" t="s"/>
      <c r="K1" s="5" t="s"/>
      <c r="L1" s="5" t="s"/>
      <c r="M1" s="5" t="s"/>
      <c r="N1" s="5" t="s"/>
      <c r="O1" s="5" t="s"/>
      <c r="P1" s="5" t="s"/>
      <c r="Q1" s="5" t="s"/>
      <c r="R1" s="5" t="s"/>
      <c r="S1" s="5" t="s"/>
      <c r="T1" s="5" t="s"/>
      <c r="U1" s="5" t="s"/>
      <c r="V1" s="5" t="s"/>
      <c r="W1" s="5" t="s"/>
      <c r="X1" s="5" t="s"/>
      <c r="Y1" s="5" t="s"/>
      <c r="Z1" s="5" t="s"/>
    </row>
    <row r="2" spans="1:6" ht="25.5" customHeight="1">
      <c r="A2" s="8" t="s">
        <v>6</v>
      </c>
      <c r="B2" s="9">
        <v>1</v>
      </c>
      <c r="C2" s="9">
        <f>=COUNTIF(题型与规则!F4:F1035,B2)</f>
        <v>31</v>
      </c>
      <c r="D2" s="8" t="s">
        <v>7</v>
      </c>
      <c r="F2" s="10" t="s"/>
    </row>
    <row r="3" spans="1:9" ht="25.5" customHeight="1">
      <c r="A3" s="11" t="s">
        <v>8</v>
      </c>
      <c r="B3" s="12">
        <v>2</v>
      </c>
      <c r="C3" s="12">
        <f>=COUNTIF(题型与规则!F5:F1036,B3)</f>
        <v>34</v>
      </c>
      <c r="D3" s="11" t="s">
        <v>9</v>
      </c>
      <c r="F3" s="13" t="s">
        <v>1461</v>
      </c>
      <c r="I3" s="13" t="s">
        <v>10</v>
      </c>
    </row>
    <row r="4" spans="1:9" ht="25.5" customHeight="1">
      <c r="A4" s="14" t="s">
        <v>11</v>
      </c>
      <c r="B4" s="15">
        <v>3</v>
      </c>
      <c r="C4" s="15">
        <f>=COUNTIF(题型与规则!F6:F1037,B4)</f>
        <v>30</v>
      </c>
      <c r="D4" s="14" t="s">
        <v>12</v>
      </c>
      <c r="F4" s="13" t="s">
        <v>1462</v>
      </c>
      <c r="I4" s="16" t="s">
        <v>13</v>
      </c>
    </row>
    <row r="5" spans="1:9" ht="25.5" customHeight="1">
      <c r="A5" s="17" t="s">
        <v>14</v>
      </c>
      <c r="B5" s="18">
        <v>4</v>
      </c>
      <c r="C5" s="18">
        <f>=COUNTIF(题型与规则!F7:F1038,B5)</f>
        <v>37</v>
      </c>
      <c r="D5" s="17" t="s">
        <v>15</v>
      </c>
      <c r="F5" s="13" t="s">
        <v>1463</v>
      </c>
      <c r="I5" s="13" t="s">
        <v>16</v>
      </c>
    </row>
    <row r="6" spans="1:9" ht="25.5" customHeight="1">
      <c r="A6" s="19" t="s">
        <v>17</v>
      </c>
      <c r="B6" s="20">
        <v>5</v>
      </c>
      <c r="C6" s="20">
        <f>=COUNTIF(题型与规则!F8:F1039,B6)</f>
        <v>33</v>
      </c>
      <c r="D6" s="19" t="s">
        <v>18</v>
      </c>
      <c r="F6" s="16" t="s"/>
      <c r="I6" s="16" t="s"/>
    </row>
    <row r="7" spans="1:9" ht="25.5" customHeight="1">
      <c r="A7" s="21" t="s">
        <v>19</v>
      </c>
      <c r="B7" s="22">
        <v>6</v>
      </c>
      <c r="C7" s="22">
        <f>=COUNTIF(题型与规则!F9:F1040,B7)</f>
        <v>42</v>
      </c>
      <c r="D7" s="21" t="s">
        <v>20</v>
      </c>
      <c r="F7" s="13" t="s">
        <v>1464</v>
      </c>
      <c r="I7" s="16" t="s"/>
    </row>
    <row r="8" spans="1:9" ht="25.5" customHeight="1">
      <c r="A8" s="23" t="s">
        <v>21</v>
      </c>
      <c r="B8" s="24">
        <v>7</v>
      </c>
      <c r="C8" s="24">
        <f>=COUNTIF(题型与规则!F10:F1041,B8)</f>
        <v>29</v>
      </c>
      <c r="D8" s="23" t="s">
        <v>22</v>
      </c>
      <c r="F8" s="13" t="s">
        <v>1465</v>
      </c>
      <c r="I8" s="16" t="s"/>
    </row>
    <row r="9" spans="1:9" ht="25.5" customHeight="1">
      <c r="A9" s="16" t="s"/>
      <c r="B9" s="25" t="s">
        <v>23</v>
      </c>
      <c r="C9" s="26">
        <f>=SUM(C2:C8)</f>
        <v>236</v>
      </c>
      <c r="D9" s="27" t="s">
        <v>24</v>
      </c>
      <c r="E9" s="16" t="s"/>
      <c r="I9" s="16" t="s"/>
    </row>
    <row r="10" spans="1:9" ht="25.5" customHeight="1">
      <c r="A10" s="16" t="s"/>
      <c r="B10" s="25" t="s">
        <v>25</v>
      </c>
      <c r="C10" s="26">
        <f>=SUM(题型与规则!J4:J1048576)</f>
        <v>19992</v>
      </c>
      <c r="D10" s="27" t="s">
        <v>26</v>
      </c>
      <c r="E10" s="16" t="s"/>
      <c r="F10" s="28" t="s">
        <v>1466</v>
      </c>
      <c r="I10" s="16" t="s">
        <v>27</v>
      </c>
    </row>
    <row r="11" spans="1:13" ht="25.5" customHeight="1">
      <c r="A11" s="29" t="s"/>
      <c r="B11" s="30" t="s"/>
      <c r="C11" s="31" t="s"/>
      <c r="D11" s="16" t="s"/>
      <c r="E11" s="16" t="s"/>
      <c r="F11" s="16" t="s"/>
      <c r="H11" s="7" t="s"/>
      <c r="I11" s="7" t="s"/>
      <c r="J11" s="7" t="s"/>
      <c r="K11" s="7" t="s"/>
      <c r="L11" s="7" t="s"/>
      <c r="M11" s="7" t="s"/>
    </row>
    <row r="12" spans="1:12" ht="25.5" customHeight="1">
      <c r="A12" s="29" t="s">
        <v>28</v>
      </c>
      <c r="B12" s="30" t="s"/>
      <c r="C12" s="31" t="s"/>
      <c r="D12" s="16" t="s"/>
      <c r="E12" s="16" t="s"/>
      <c r="H12" s="32" t="s">
        <v>29</v>
      </c>
      <c r="I12" s="33" t="s"/>
      <c r="J12" s="33" t="s"/>
      <c r="K12" s="33" t="s"/>
      <c r="L12" s="34" t="s"/>
    </row>
    <row r="13" spans="1:12" ht="25.5" customHeight="1">
      <c r="A13" s="13" t="s">
        <v>1467</v>
      </c>
      <c r="B13" s="30" t="s"/>
      <c r="C13" s="31" t="s"/>
      <c r="D13" s="16" t="s"/>
      <c r="E13" s="16" t="s"/>
      <c r="H13" s="35" t="s">
        <v>30</v>
      </c>
      <c r="I13" s="36" t="s"/>
      <c r="J13" s="36" t="s"/>
      <c r="K13" s="36" t="s"/>
      <c r="L13" s="37" t="s"/>
    </row>
    <row r="14" spans="1:12" ht="25.5" customHeight="1">
      <c r="A14" s="16" t="s">
        <v>31</v>
      </c>
      <c r="B14" s="30" t="s"/>
      <c r="C14" s="31" t="s"/>
      <c r="D14" s="16" t="s"/>
      <c r="E14" s="16" t="s"/>
      <c r="H14" s="38" t="s">
        <v>32</v>
      </c>
      <c r="I14" s="36" t="s"/>
      <c r="J14" s="36" t="s"/>
      <c r="K14" s="36" t="s"/>
      <c r="L14" s="37" t="s"/>
    </row>
    <row r="15" spans="1:12" ht="25.5" customHeight="1">
      <c r="A15" s="16" t="s"/>
      <c r="B15" s="30" t="s">
        <v>33</v>
      </c>
      <c r="C15" s="31" t="s"/>
      <c r="D15" s="16" t="s"/>
      <c r="E15" s="16" t="s"/>
      <c r="H15" s="39" t="s">
        <v>34</v>
      </c>
      <c r="I15" s="36" t="s"/>
      <c r="J15" s="36" t="s"/>
      <c r="K15" s="36" t="s"/>
      <c r="L15" s="37" t="s"/>
    </row>
    <row r="16" spans="1:12" ht="25.5" customHeight="1">
      <c r="A16" s="13" t="s"/>
      <c r="B16" s="30" t="s">
        <v>35</v>
      </c>
      <c r="C16" s="31" t="s"/>
      <c r="D16" s="16" t="s"/>
      <c r="E16" s="16" t="s"/>
      <c r="H16" s="38" t="s">
        <v>36</v>
      </c>
      <c r="I16" s="36" t="s"/>
      <c r="J16" s="36" t="s"/>
      <c r="K16" s="36" t="s"/>
      <c r="L16" s="37" t="s"/>
    </row>
    <row r="17" spans="1:12" ht="25.5" customHeight="1">
      <c r="A17" s="13" t="s"/>
      <c r="B17" s="30" t="s">
        <v>37</v>
      </c>
      <c r="C17" s="31" t="s"/>
      <c r="D17" s="16" t="s"/>
      <c r="E17" s="16" t="s"/>
      <c r="H17" s="40" t="s">
        <v>38</v>
      </c>
      <c r="I17" s="41" t="s"/>
      <c r="J17" s="41" t="s"/>
      <c r="K17" s="41" t="s"/>
      <c r="L17" s="42" t="s"/>
    </row>
    <row r="18" spans="1:5" ht="25.5" customHeight="1">
      <c r="A18" s="13" t="s">
        <v>39</v>
      </c>
      <c r="B18" s="30" t="s"/>
      <c r="C18" s="31" t="s"/>
      <c r="D18" s="16" t="s"/>
      <c r="E18" s="16" t="s"/>
    </row>
    <row r="19" spans="1:5" ht="25.5" customHeight="1">
      <c r="A19" s="16" t="s"/>
      <c r="B19" s="43" t="s">
        <v>40</v>
      </c>
      <c r="C19" s="31" t="s"/>
      <c r="D19" s="16" t="s"/>
      <c r="E19" s="16" t="s"/>
    </row>
    <row r="20" spans="1:5" ht="25.5" customHeight="1">
      <c r="A20" s="16" t="s"/>
      <c r="B20" s="30" t="s">
        <v>41</v>
      </c>
      <c r="C20" s="31" t="s"/>
      <c r="D20" s="16" t="s"/>
      <c r="E20" s="16" t="s"/>
    </row>
    <row r="21" spans="1:5" ht="25.5" customHeight="1">
      <c r="A21" s="16" t="s"/>
      <c r="B21" s="44" t="s">
        <v>42</v>
      </c>
      <c r="C21" s="31" t="s"/>
      <c r="D21" s="16" t="s"/>
      <c r="E21" s="16" t="s"/>
    </row>
    <row r="22" spans="1:5" ht="25.5" customHeight="1">
      <c r="A22" s="16" t="s"/>
      <c r="B22" s="30" t="s">
        <v>1468</v>
      </c>
      <c r="C22" s="31" t="s"/>
      <c r="D22" s="16" t="s"/>
      <c r="E22" s="16" t="s"/>
    </row>
    <row r="23" spans="1:5" ht="25.5" customHeight="1">
      <c r="A23" s="16" t="s"/>
      <c r="B23" s="44" t="s">
        <v>43</v>
      </c>
      <c r="C23" s="31" t="s"/>
      <c r="D23" s="16" t="s"/>
      <c r="E23" s="16" t="s"/>
    </row>
    <row r="24" spans="1:5" ht="25.5" customHeight="1">
      <c r="A24" s="13" t="s">
        <v>44</v>
      </c>
      <c r="B24" s="31" t="s"/>
      <c r="C24" s="31" t="s"/>
      <c r="D24" s="16" t="s"/>
      <c r="E24" s="16" t="s"/>
    </row>
    <row r="25" spans="1:5" ht="25.5" customHeight="1">
      <c r="A25" s="16" t="s"/>
      <c r="B25" s="30" t="s"/>
      <c r="C25" s="31" t="s"/>
      <c r="D25" s="16" t="s"/>
      <c r="E25" s="16" t="s"/>
    </row>
    <row r="26" spans="2:5" ht="25.5" customHeight="1">
      <c r="B26" s="30" t="s"/>
      <c r="C26" s="31" t="s"/>
      <c r="D26" s="16" t="s"/>
      <c r="E26" s="16" t="s"/>
    </row>
    <row r="27" spans="2:5" ht="25.5" customHeight="1">
      <c r="B27" s="30" t="s"/>
      <c r="C27" s="31" t="s"/>
      <c r="D27" s="16" t="s"/>
      <c r="E27" s="16" t="s"/>
    </row>
    <row r="28" spans="2:5" ht="25.5" customHeight="1">
      <c r="B28" s="30" t="s"/>
      <c r="C28" s="31" t="s"/>
      <c r="D28" s="16" t="s"/>
      <c r="E28" s="16" t="s"/>
    </row>
    <row r="29" spans="2:5" ht="25.5" customHeight="1">
      <c r="B29" s="31" t="s"/>
      <c r="C29" s="31" t="s"/>
      <c r="D29" s="16" t="s"/>
      <c r="E29" s="16" t="s"/>
    </row>
    <row r="30" spans="4:4" ht="25.5" customHeight="1">
      <c r="D30" s="45" t="s"/>
    </row>
    <row r="31" spans="1:26" ht="25.5" customHeight="1"/>
    <row r="32" spans="1:26" ht="25.5" customHeight="1"/>
    <row r="33" spans="1:26" ht="25.5" customHeight="1"/>
    <row r="34" spans="1:26" ht="25.5" customHeight="1"/>
    <row r="35" spans="1:26" ht="25.5" customHeight="1"/>
    <row r="36" spans="1:26" ht="25.5" customHeight="1"/>
    <row r="37" spans="1:26" ht="25.5" customHeight="1"/>
    <row r="38" spans="1:26" ht="25.5" customHeight="1"/>
    <row r="39" spans="1:26" ht="25.5" customHeight="1"/>
    <row r="40" spans="1:26" ht="25.5" customHeight="1"/>
    <row r="41" spans="1:26" ht="25.5" customHeight="1"/>
    <row r="42" spans="1:26" ht="25.5" customHeight="1"/>
    <row r="43" spans="1:26" ht="25.5" customHeight="1"/>
    <row r="44" spans="1:26" ht="25.5" customHeight="1"/>
    <row r="45" spans="1:26" ht="25.5" customHeight="1"/>
    <row r="46" spans="1:26" ht="25.5" customHeight="1"/>
    <row r="47" spans="1:26" ht="25.5" customHeight="1"/>
    <row r="48" spans="1:26" ht="25.5" customHeight="1"/>
    <row r="49" spans="1:26" ht="25.5" customHeight="1"/>
    <row r="50" spans="1:26" ht="25.5" customHeight="1"/>
    <row r="51" spans="1:26" ht="25.5" customHeight="1"/>
    <row r="52" spans="1:26" ht="25.5" customHeight="1"/>
    <row r="53" spans="1:26" ht="25.5" customHeight="1"/>
    <row r="54" spans="1:26" ht="25.5" customHeight="1"/>
    <row r="55" spans="1:26" ht="25.5" customHeight="1"/>
    <row r="56" spans="1:26" ht="25.5" customHeight="1"/>
    <row r="57" spans="1:26" ht="25.5" customHeight="1"/>
    <row r="58" spans="1:26" ht="25.5" customHeight="1"/>
    <row r="59" spans="1:26" ht="25.5" customHeight="1"/>
    <row r="60" spans="1:26" ht="25.5" customHeight="1"/>
    <row r="61" spans="1:26" ht="25.5" customHeight="1"/>
    <row r="62" spans="1:26" ht="25.5" customHeight="1"/>
    <row r="63" spans="1:26" ht="25.5" customHeight="1"/>
    <row r="64" spans="1:26" ht="25.5" customHeight="1"/>
    <row r="65" spans="1:26" ht="25.5" customHeight="1"/>
    <row r="66" spans="1:26" ht="25.5" customHeight="1"/>
    <row r="67" spans="1:26" ht="25.5" customHeight="1"/>
    <row r="68" spans="1:26" ht="25.5" customHeight="1"/>
    <row r="69" spans="1:26" ht="25.5" customHeight="1"/>
    <row r="70" spans="1:26" ht="25.5" customHeight="1"/>
    <row r="71" spans="1:26" ht="25.5" customHeight="1"/>
    <row r="72" spans="1:26" ht="25.5" customHeight="1"/>
    <row r="73" spans="1:26" ht="25.5" customHeight="1"/>
    <row r="74" spans="1:26" ht="25.5" customHeight="1"/>
    <row r="75" spans="1:26" ht="25.5" customHeight="1"/>
    <row r="76" spans="1:26" ht="25.5" customHeight="1"/>
    <row r="77" spans="1:26" ht="25.5" customHeight="1"/>
    <row r="78" spans="1:26" ht="25.5" customHeight="1"/>
    <row r="79" spans="1:26" ht="25.5" customHeight="1"/>
    <row r="80" spans="1:26" ht="25.5" customHeight="1"/>
    <row r="81" spans="1:26" ht="25.5" customHeight="1"/>
    <row r="82" spans="1:26" ht="25.5" customHeight="1"/>
    <row r="83" spans="1:26" ht="25.5" customHeight="1"/>
    <row r="84" spans="1:26" ht="25.5" customHeight="1"/>
    <row r="85" spans="1:26" ht="25.5" customHeight="1"/>
    <row r="86" spans="1:26" ht="25.5" customHeight="1"/>
    <row r="87" spans="1:26" ht="25.5" customHeight="1"/>
    <row r="88" spans="1:26" ht="25.5" customHeight="1"/>
    <row r="89" spans="1:26" ht="25.5" customHeight="1"/>
    <row r="90" spans="1:26" ht="25.5" customHeight="1"/>
    <row r="91" spans="1:26" ht="25.5" customHeight="1"/>
    <row r="92" spans="1:26" ht="25.5" customHeight="1"/>
    <row r="93" spans="1:26" ht="25.5" customHeight="1"/>
    <row r="94" spans="1:26" ht="25.5" customHeight="1"/>
    <row r="95" spans="1:26" ht="25.5" customHeight="1"/>
    <row r="96" spans="1:26" ht="25.5" customHeight="1"/>
    <row r="97" spans="1:26" ht="25.5" customHeight="1"/>
    <row r="98" spans="1:26" ht="25.5" customHeight="1"/>
    <row r="99" spans="1:26" ht="25.5" customHeight="1"/>
    <row r="100" spans="1:26" ht="25.5" customHeight="1"/>
    <row r="101" spans="1:26" ht="25.5" customHeight="1"/>
    <row r="102" spans="1:26" ht="25.5" customHeight="1"/>
    <row r="103" spans="1:26" ht="25.5" customHeight="1"/>
    <row r="104" spans="1:26" ht="25.5" customHeight="1"/>
    <row r="105" spans="1:26" ht="25.5" customHeight="1"/>
    <row r="106" spans="1:26" ht="25.5" customHeight="1"/>
    <row r="107" spans="1:26" ht="25.5" customHeight="1"/>
    <row r="108" spans="1:26" ht="25.5" customHeight="1"/>
    <row r="109" spans="1:26" ht="25.5" customHeight="1"/>
    <row r="110" spans="1:26" ht="25.5" customHeight="1"/>
    <row r="111" spans="1:26" ht="25.5" customHeight="1"/>
    <row r="112" spans="1:26" ht="25.5" customHeight="1"/>
    <row r="113" spans="1:26" ht="25.5" customHeight="1"/>
    <row r="114" spans="1:26" ht="25.5" customHeight="1"/>
    <row r="115" spans="1:26" ht="25.5" customHeight="1"/>
    <row r="116" spans="1:26" ht="25.5" customHeight="1"/>
    <row r="117" spans="1:26" ht="25.5" customHeight="1"/>
    <row r="118" spans="1:26" ht="25.5" customHeight="1"/>
    <row r="119" spans="1:26" ht="25.5" customHeight="1"/>
    <row r="120" spans="1:26" ht="25.5" customHeight="1"/>
    <row r="121" spans="1:26" ht="25.5" customHeight="1"/>
    <row r="122" spans="1:26" ht="25.5" customHeight="1"/>
    <row r="123" spans="1:26" ht="25.5" customHeight="1"/>
    <row r="124" spans="1:26" ht="25.5" customHeight="1"/>
    <row r="125" spans="1:26" ht="25.5" customHeight="1"/>
    <row r="126" spans="1:26" ht="25.5" customHeight="1"/>
    <row r="127" spans="1:26" ht="25.5" customHeight="1"/>
    <row r="128" spans="1:26" ht="25.5" customHeight="1"/>
    <row r="129" spans="1:26" ht="25.5" customHeight="1"/>
    <row r="130" spans="1:26" ht="25.5" customHeight="1"/>
    <row r="131" spans="1:26" ht="25.5" customHeight="1"/>
    <row r="132" spans="1:26" ht="25.5" customHeight="1"/>
    <row r="133" spans="1:26" ht="25.5" customHeight="1"/>
    <row r="134" spans="1:26" ht="25.5" customHeight="1"/>
    <row r="135" spans="1:26" ht="25.5" customHeight="1"/>
    <row r="136" spans="1:26" ht="25.5" customHeight="1"/>
    <row r="137" spans="1:26" ht="25.5" customHeight="1"/>
    <row r="138" spans="1:26" ht="25.5" customHeight="1"/>
    <row r="139" spans="1:26" ht="25.5" customHeight="1"/>
    <row r="140" spans="1:26" ht="25.5" customHeight="1"/>
    <row r="141" spans="1:26" ht="25.5" customHeight="1"/>
    <row r="142" spans="1:26" ht="25.5" customHeight="1"/>
    <row r="143" spans="1:26" ht="25.5" customHeight="1"/>
    <row r="144" spans="1:26" ht="25.5" customHeight="1"/>
    <row r="145" spans="1:26" ht="25.5" customHeight="1"/>
    <row r="146" spans="1:26" ht="25.5" customHeight="1"/>
    <row r="147" spans="1:26" ht="25.5" customHeight="1"/>
    <row r="148" spans="1:26" ht="25.5" customHeight="1"/>
    <row r="149" spans="1:26" ht="25.5" customHeight="1"/>
    <row r="150" spans="1:26" ht="25.5" customHeight="1"/>
    <row r="151" spans="1:26" ht="25.5" customHeight="1"/>
    <row r="152" spans="1:26" ht="25.5" customHeight="1"/>
    <row r="153" spans="1:26" ht="25.5" customHeight="1"/>
    <row r="154" spans="1:26" ht="25.5" customHeight="1"/>
    <row r="155" spans="1:26" ht="25.5" customHeight="1"/>
    <row r="156" spans="1:26" ht="25.5" customHeight="1"/>
    <row r="157" spans="1:26" ht="25.5" customHeight="1"/>
    <row r="158" spans="1:26" ht="25.5" customHeight="1"/>
    <row r="159" spans="1:26" ht="25.5" customHeight="1"/>
    <row r="160" spans="1:26" ht="25.5" customHeight="1"/>
    <row r="161" spans="1:26" ht="25.5" customHeight="1"/>
    <row r="162" spans="1:26" ht="25.5" customHeight="1"/>
    <row r="163" spans="1:26" ht="25.5" customHeight="1"/>
    <row r="164" spans="1:26" ht="25.5" customHeight="1"/>
    <row r="165" spans="1:26" ht="25.5" customHeight="1"/>
    <row r="166" spans="1:26" ht="25.5" customHeight="1"/>
    <row r="167" spans="1:26" ht="25.5" customHeight="1"/>
    <row r="168" spans="1:26" ht="25.5" customHeight="1"/>
    <row r="169" spans="1:26" ht="25.5" customHeight="1"/>
    <row r="170" spans="1:26" ht="25.5" customHeight="1"/>
    <row r="171" spans="1:26" ht="25.5" customHeight="1"/>
    <row r="172" spans="1:26" ht="25.5" customHeight="1"/>
    <row r="173" spans="1:26" ht="25.5" customHeight="1"/>
    <row r="174" spans="1:26" ht="25.5" customHeight="1"/>
    <row r="175" spans="1:26" ht="25.5" customHeight="1"/>
    <row r="176" spans="1:26" ht="25.5" customHeight="1"/>
    <row r="177" spans="1:26" ht="25.5" customHeight="1"/>
    <row r="178" spans="1:26" ht="25.5" customHeight="1"/>
    <row r="179" spans="1:26" ht="25.5" customHeight="1"/>
    <row r="180" spans="1:26" ht="25.5" customHeight="1"/>
    <row r="181" spans="1:26" ht="25.5" customHeight="1"/>
    <row r="182" spans="1:26" ht="25.5" customHeight="1"/>
    <row r="183" spans="1:26" ht="25.5" customHeight="1"/>
    <row r="184" spans="1:26" ht="25.5" customHeight="1"/>
    <row r="185" spans="1:26" ht="25.5" customHeight="1"/>
    <row r="186" spans="1:26" ht="25.5" customHeight="1"/>
    <row r="187" spans="1:26" ht="25.5" customHeight="1"/>
    <row r="188" spans="1:26" ht="25.5" customHeight="1"/>
    <row r="189" spans="1:26" ht="25.5" customHeight="1"/>
    <row r="190" spans="1:26" ht="25.5" customHeight="1"/>
    <row r="191" spans="1:26" ht="25.5" customHeight="1"/>
    <row r="192" spans="1:26" ht="25.5" customHeight="1"/>
    <row r="193" spans="1:26" ht="25.5" customHeight="1"/>
    <row r="194" spans="1:26" ht="25.5" customHeight="1"/>
    <row r="195" spans="1:26" ht="25.5" customHeight="1"/>
    <row r="196" spans="1:26" ht="25.5" customHeight="1"/>
    <row r="197" spans="1:26" ht="25.5" customHeight="1"/>
    <row r="198" spans="1:26" ht="25.5" customHeight="1"/>
    <row r="199" spans="1:26" ht="25.5" customHeight="1"/>
    <row r="200" spans="1:26" ht="25.5" customHeight="1"/>
    <row r="201" spans="1:26" ht="25.5" customHeight="1"/>
    <row r="202" spans="1:26" ht="25.5" customHeight="1"/>
    <row r="203" spans="1:26" ht="25.5" customHeight="1"/>
    <row r="204" spans="1:26" ht="25.5" customHeight="1"/>
    <row r="205" spans="1:26" ht="25.5" customHeight="1"/>
    <row r="206" spans="1:26" ht="25.5" customHeight="1"/>
  </sheetData>
  <hyperlinks>
    <hyperlink ref="F3" r:id="rId0"/>
    <hyperlink ref="F4" r:id="rId1"/>
    <hyperlink ref="F5" r:id="rId2"/>
    <hyperlink ref="F7" r:id="rId3"/>
    <hyperlink ref="F8" r:id="rId4"/>
    <hyperlink ref="F10" r:id="rId5"/>
  </hyperlinks>
</worksheet>
</file>

<file path=xl/worksheets/sheet2.xml><?xml version="1.0" encoding="utf-8"?>
<worksheet xmlns="http://schemas.openxmlformats.org/spreadsheetml/2006/main">
  <sheetPr codeName="题型与规则">
    <tabColor/>
  </sheetPr>
  <dimension ref="O239"/>
  <sheetViews>
    <sheetView showGridLines="1" rightToLeft="0" workbookViewId="0">
      <pane ySplit="3" topLeftCell="A4" state="frozen"/>
    </sheetView>
  </sheetViews>
  <sheetFormatPr baseColWidth="13" defaultRowHeight="18" customHeight="1"/>
  <cols>
    <col min="1" max="1" width="14.1133" style="706" customWidth="1"/>
    <col min="2" max="2" width="6.47266" style="606" customWidth="1"/>
    <col min="3" max="3" width="20.9023" style="707" customWidth="1"/>
    <col min="4" max="4" width="10.2031" hidden="1" customWidth="1"/>
    <col min="5" max="5" width="13.2031" customWidth="1"/>
    <col min="6" max="6" width="5.18359" customWidth="1"/>
    <col min="7" max="7" width="8.63281" customWidth="1"/>
    <col min="8" max="8" width="13.8008" style="708" customWidth="1"/>
    <col min="9" max="9" width="183.852" style="287" customWidth="1"/>
    <col min="10" max="10" width="7.77344" customWidth="1"/>
    <col min="11" max="11" width="19.5938" customWidth="1"/>
    <col min="12" max="12" width="50.2031" customWidth="1"/>
    <col min="13" max="13" width="22.9609" customWidth="1"/>
    <col min="14" max="14" width="8.50391" customWidth="1"/>
    <col min="15" max="15" width="14.3477" customWidth="1"/>
  </cols>
  <sheetData>
    <row r="1" spans="1:15" s="705" customFormat="1">
      <c r="A1" s="46" t="s">
        <v>45</v>
      </c>
      <c r="B1" s="47" t="s">
        <v>46</v>
      </c>
      <c r="C1" s="48" t="s">
        <v>47</v>
      </c>
      <c r="E1" s="47" t="s">
        <v>48</v>
      </c>
      <c r="F1" s="47" t="s">
        <v>49</v>
      </c>
      <c r="G1" s="46" t="s">
        <v>50</v>
      </c>
      <c r="H1" s="49" t="s"/>
      <c r="I1" s="46" t="s">
        <v>51</v>
      </c>
      <c r="J1" s="47" t="s">
        <v>52</v>
      </c>
      <c r="K1" s="46" t="s">
        <v>53</v>
      </c>
      <c r="L1" s="47" t="s">
        <v>1469</v>
      </c>
      <c r="M1" s="50" t="s">
        <v>54</v>
      </c>
      <c r="N1" s="50" t="s">
        <v>55</v>
      </c>
      <c r="O1" s="50" t="s">
        <v>56</v>
      </c>
    </row>
    <row r="2" spans="1:15" s="603" customFormat="1">
      <c r="A2" s="46" t="s">
        <v>57</v>
      </c>
      <c r="B2" s="47" t="s">
        <v>58</v>
      </c>
      <c r="C2" s="51" t="s">
        <v>59</v>
      </c>
      <c r="E2" s="47" t="s">
        <v>60</v>
      </c>
      <c r="F2" s="47" t="s">
        <v>2</v>
      </c>
      <c r="G2" s="47" t="s">
        <v>61</v>
      </c>
      <c r="H2" s="49" t="s"/>
      <c r="I2" s="47" t="s">
        <v>62</v>
      </c>
      <c r="J2" s="47" t="s">
        <v>63</v>
      </c>
      <c r="K2" s="47" t="s">
        <v>64</v>
      </c>
      <c r="L2" s="52" t="s">
        <v>1470</v>
      </c>
      <c r="M2" s="53" t="s">
        <v>65</v>
      </c>
      <c r="N2" s="53" t="s">
        <v>66</v>
      </c>
      <c r="O2" s="53" t="s">
        <v>67</v>
      </c>
    </row>
    <row r="3" spans="1:15" s="58" customFormat="1">
      <c r="A3" s="54">
        <v>1</v>
      </c>
      <c r="B3" s="55">
        <v>2</v>
      </c>
      <c r="C3" s="56">
        <v>3</v>
      </c>
      <c r="D3" s="55">
        <v>4</v>
      </c>
      <c r="E3" s="54">
        <v>5</v>
      </c>
      <c r="F3" s="55">
        <v>6</v>
      </c>
      <c r="G3" s="54">
        <v>7</v>
      </c>
      <c r="H3" s="57" t="s"/>
      <c r="I3" s="54">
        <v>9</v>
      </c>
      <c r="J3" s="55">
        <v>10</v>
      </c>
      <c r="K3" s="54">
        <v>11</v>
      </c>
      <c r="L3" s="55">
        <v>12</v>
      </c>
      <c r="M3" s="58">
        <v>13</v>
      </c>
      <c r="N3" s="58">
        <v>14</v>
      </c>
      <c r="O3" s="58">
        <v>15</v>
      </c>
    </row>
    <row r="4" spans="1:15">
      <c r="A4" s="59" t="s">
        <v>68</v>
      </c>
      <c r="B4" s="60">
        <v>1</v>
      </c>
      <c r="C4" s="604" t="s">
        <v>69</v>
      </c>
      <c r="D4" s="62" t="s">
        <v>70</v>
      </c>
      <c r="E4" s="63" t="str">
        <f>=HYPERLINK(_xlfn.CONCAT("pzplus.tck.mn/db?type=",A4,"&amp;variant=no"),IF(D4&lt;&gt;0,D4,A4))</f>
        <v>溪流</v>
      </c>
      <c r="F4" s="64">
        <v>1</v>
      </c>
      <c r="G4" s="65" t="s">
        <v>6</v>
      </c>
      <c r="H4" s="66" t="s">
        <v>71</v>
      </c>
      <c r="I4" s="62" t="s">
        <v>72</v>
      </c>
      <c r="J4" s="67">
        <f>=IF(LEN(I4)&gt;0,LEN(I4),"")</f>
        <v>41</v>
      </c>
      <c r="K4" s="62" t="s">
        <v>73</v>
      </c>
      <c r="L4" s="62" t="s">
        <v>74</v>
      </c>
      <c r="M4" s="373" t="s">
        <v>75</v>
      </c>
      <c r="N4" s="69">
        <v>2005</v>
      </c>
      <c r="O4" s="68" t="s">
        <v>76</v>
      </c>
    </row>
    <row r="5" spans="1:15">
      <c r="A5" s="59" t="s">
        <v>77</v>
      </c>
      <c r="B5" s="70">
        <v>0.8</v>
      </c>
      <c r="C5" s="604" t="s">
        <v>78</v>
      </c>
      <c r="D5" s="72" t="s"/>
      <c r="E5" s="73" t="str">
        <f>=HYPERLINK(_xlfn.CONCAT("pzplus.tck.mn/db?type=",A5,"&amp;variant=no"),IF(D5&lt;&gt;0,D5,A5))</f>
        <v>disco</v>
      </c>
      <c r="F5" s="64">
        <v>1</v>
      </c>
      <c r="G5" s="65" t="s">
        <v>6</v>
      </c>
      <c r="H5" s="66" t="s">
        <v>71</v>
      </c>
      <c r="I5" s="74" t="s">
        <v>79</v>
      </c>
      <c r="J5" s="290">
        <f>=IF(LEN(I5)&gt;0,LEN(I5),"")</f>
        <v>49</v>
      </c>
      <c r="K5" s="62" t="s">
        <v>80</v>
      </c>
      <c r="L5" s="74" t="s">
        <v>74</v>
      </c>
      <c r="M5" s="373" t="s">
        <v>81</v>
      </c>
      <c r="N5" s="76" t="s"/>
      <c r="O5" s="68" t="s">
        <v>82</v>
      </c>
    </row>
    <row r="6" spans="1:15">
      <c r="A6" s="59" t="s">
        <v>83</v>
      </c>
      <c r="B6" s="60">
        <v>1</v>
      </c>
      <c r="C6" s="604" t="s">
        <v>84</v>
      </c>
      <c r="D6" s="78" t="s">
        <v>85</v>
      </c>
      <c r="E6" s="79" t="str">
        <f>=HYPERLINK(_xlfn.CONCAT("pzplus.tck.mn/db?type=",A6,"&amp;variant=no"),IF(D6&lt;&gt;0,D6,A6))</f>
        <v>数壹</v>
      </c>
      <c r="F6" s="64">
        <v>1</v>
      </c>
      <c r="G6" s="65" t="s">
        <v>6</v>
      </c>
      <c r="H6" s="66" t="s">
        <v>71</v>
      </c>
      <c r="I6" s="74" t="s">
        <v>86</v>
      </c>
      <c r="J6" s="291">
        <f>=IF(LEN(I6)&gt;0,LEN(I6),"")</f>
        <v>57</v>
      </c>
      <c r="K6" s="62" t="s">
        <v>73</v>
      </c>
      <c r="L6" s="62" t="s">
        <v>1471</v>
      </c>
      <c r="M6" s="373" t="s">
        <v>87</v>
      </c>
      <c r="N6" s="69">
        <v>1990</v>
      </c>
      <c r="O6" s="68" t="s">
        <v>76</v>
      </c>
    </row>
    <row r="7" spans="1:15">
      <c r="A7" s="59" t="s">
        <v>88</v>
      </c>
      <c r="B7" s="60">
        <v>1</v>
      </c>
      <c r="C7" s="604" t="s">
        <v>89</v>
      </c>
      <c r="D7" s="62" t="s">
        <v>90</v>
      </c>
      <c r="E7" s="63" t="str">
        <f>=HYPERLINK(_xlfn.CONCAT("pzplus.tck.mn/db?type=",A7,"&amp;variant=no"),IF(D7&lt;&gt;0,D7,A7))</f>
        <v>四格骨墙</v>
      </c>
      <c r="F7" s="81">
        <v>1</v>
      </c>
      <c r="G7" s="82" t="s">
        <v>6</v>
      </c>
      <c r="H7" s="66" t="s">
        <v>71</v>
      </c>
      <c r="I7" s="74" t="s">
        <v>91</v>
      </c>
      <c r="J7" s="292">
        <f>=IF(LEN(I7)&gt;0,LEN(I7),"")</f>
        <v>63</v>
      </c>
      <c r="K7" s="62" t="s">
        <v>73</v>
      </c>
      <c r="L7" s="62" t="s">
        <v>92</v>
      </c>
      <c r="M7" s="387" t="s">
        <v>93</v>
      </c>
      <c r="N7" s="85">
        <v>2004</v>
      </c>
      <c r="O7" s="86" t="s">
        <v>94</v>
      </c>
    </row>
    <row r="8" spans="1:15">
      <c r="A8" s="59" t="s">
        <v>95</v>
      </c>
      <c r="B8" s="60">
        <v>1</v>
      </c>
      <c r="C8" s="604" t="s">
        <v>96</v>
      </c>
      <c r="D8" s="87" t="s">
        <v>97</v>
      </c>
      <c r="E8" s="63" t="str">
        <f>=HYPERLINK(_xlfn.CONCAT("pzplus.tck.mn/db?type=",A8,"&amp;variant=no"),IF(D8&lt;&gt;0,D8,A8))</f>
        <v>黑白无四</v>
      </c>
      <c r="F8" s="81">
        <v>1</v>
      </c>
      <c r="G8" s="82" t="s">
        <v>6</v>
      </c>
      <c r="H8" s="66" t="s">
        <v>71</v>
      </c>
      <c r="I8" s="74" t="s">
        <v>98</v>
      </c>
      <c r="J8" s="293">
        <f>=IF(LEN(I8)&gt;0,LEN(I8),"")</f>
        <v>64</v>
      </c>
      <c r="K8" s="62" t="s">
        <v>73</v>
      </c>
      <c r="L8" s="74" t="s">
        <v>1472</v>
      </c>
      <c r="M8" s="89" t="s">
        <v>99</v>
      </c>
      <c r="N8" s="69">
        <v>2020</v>
      </c>
      <c r="O8" s="89" t="s">
        <v>94</v>
      </c>
    </row>
    <row r="9" spans="1:15">
      <c r="A9" s="62" t="s">
        <v>100</v>
      </c>
      <c r="B9" s="90">
        <v>1</v>
      </c>
      <c r="C9" s="604" t="s">
        <v>101</v>
      </c>
      <c r="D9" s="87" t="s">
        <v>102</v>
      </c>
      <c r="E9" s="73" t="str">
        <f>=HYPERLINK(_xlfn.CONCAT("pzplus.tck.mn/db?type=",A9,"&amp;variant=no"),IF(D9&lt;&gt;0,D9,A9))</f>
        <v>拼花地板</v>
      </c>
      <c r="F9" s="64">
        <v>1</v>
      </c>
      <c r="G9" s="65" t="s">
        <v>6</v>
      </c>
      <c r="H9" s="66" t="s">
        <v>71</v>
      </c>
      <c r="I9" s="74" t="s">
        <v>103</v>
      </c>
      <c r="J9" s="293">
        <f>=IF(LEN(I9)&gt;0,LEN(I9),"")</f>
        <v>64</v>
      </c>
      <c r="K9" s="62" t="s">
        <v>104</v>
      </c>
      <c r="L9" s="74" t="s">
        <v>74</v>
      </c>
      <c r="M9" s="89" t="s"/>
      <c r="N9" s="76" t="s"/>
      <c r="O9" s="89" t="s"/>
    </row>
    <row r="10" spans="1:15">
      <c r="A10" s="59" t="s">
        <v>105</v>
      </c>
      <c r="B10" s="60">
        <v>1</v>
      </c>
      <c r="C10" s="604" t="s">
        <v>106</v>
      </c>
      <c r="D10" s="78" t="s">
        <v>107</v>
      </c>
      <c r="E10" s="79" t="str">
        <f>=HYPERLINK(_xlfn.CONCAT("pzplus.tck.mn/db?type=",A10,"&amp;variant=no"),IF(D10&lt;&gt;0,D10,A10))</f>
        <v>等隔无三</v>
      </c>
      <c r="F10" s="81">
        <v>1</v>
      </c>
      <c r="G10" s="82" t="s">
        <v>6</v>
      </c>
      <c r="H10" s="66" t="s">
        <v>71</v>
      </c>
      <c r="I10" s="74" t="s">
        <v>108</v>
      </c>
      <c r="J10" s="294">
        <f>=IF(LEN(I10)&gt;0,LEN(I10),"")</f>
        <v>69</v>
      </c>
      <c r="K10" s="62" t="s">
        <v>109</v>
      </c>
      <c r="L10" s="74" t="s">
        <v>74</v>
      </c>
      <c r="M10" s="373" t="s">
        <v>110</v>
      </c>
      <c r="N10" s="69">
        <v>2017</v>
      </c>
      <c r="O10" s="68" t="s">
        <v>93</v>
      </c>
    </row>
    <row r="11" spans="1:15">
      <c r="A11" s="62" t="s">
        <v>111</v>
      </c>
      <c r="B11" s="60">
        <v>1</v>
      </c>
      <c r="C11" s="604" t="s">
        <v>112</v>
      </c>
      <c r="D11" s="78" t="s">
        <v>113</v>
      </c>
      <c r="E11" s="79" t="str">
        <f>=HYPERLINK(_xlfn.CONCAT("pzplus.tck.mn/db?type=",A11,"&amp;variant=no"),IF(D11&lt;&gt;0,D11,A11))</f>
        <v>矩形领土</v>
      </c>
      <c r="F11" s="81">
        <v>1</v>
      </c>
      <c r="G11" s="82" t="s">
        <v>6</v>
      </c>
      <c r="H11" s="66" t="s">
        <v>71</v>
      </c>
      <c r="I11" s="74" t="s">
        <v>114</v>
      </c>
      <c r="J11" s="294">
        <f>=IF(LEN(I11)&gt;0,LEN(I11),"")</f>
        <v>69</v>
      </c>
      <c r="K11" s="62" t="s">
        <v>115</v>
      </c>
      <c r="L11" s="74" t="s">
        <v>74</v>
      </c>
      <c r="M11" s="373" t="s">
        <v>81</v>
      </c>
      <c r="N11" s="69" t="s">
        <v>116</v>
      </c>
      <c r="O11" s="68" t="s">
        <v>94</v>
      </c>
    </row>
    <row r="12" spans="1:15">
      <c r="A12" s="59" t="s">
        <v>117</v>
      </c>
      <c r="B12" s="60">
        <v>1</v>
      </c>
      <c r="C12" s="604" t="s">
        <v>118</v>
      </c>
      <c r="D12" s="78" t="s">
        <v>119</v>
      </c>
      <c r="E12" s="79" t="str">
        <f>=HYPERLINK(_xlfn.CONCAT("pzplus.tck.mn/db?type=",A12,"&amp;variant=no"),IF(D12&lt;&gt;0,D12,A12))</f>
        <v>数间</v>
      </c>
      <c r="F12" s="64">
        <v>1</v>
      </c>
      <c r="G12" s="65" t="s">
        <v>6</v>
      </c>
      <c r="H12" s="66" t="s">
        <v>71</v>
      </c>
      <c r="I12" s="74" t="s">
        <v>120</v>
      </c>
      <c r="J12" s="295">
        <f>=IF(LEN(I12)&gt;0,LEN(I12),"")</f>
        <v>73</v>
      </c>
      <c r="K12" s="62" t="s">
        <v>73</v>
      </c>
      <c r="L12" s="61" t="s">
        <v>121</v>
      </c>
      <c r="M12" s="373" t="s">
        <v>122</v>
      </c>
      <c r="N12" s="69">
        <v>1992</v>
      </c>
      <c r="O12" s="68" t="s">
        <v>76</v>
      </c>
    </row>
    <row r="13" spans="1:15">
      <c r="A13" s="59" t="s">
        <v>123</v>
      </c>
      <c r="B13" s="60">
        <v>1</v>
      </c>
      <c r="C13" s="604" t="s">
        <v>124</v>
      </c>
      <c r="D13" s="62" t="s">
        <v>125</v>
      </c>
      <c r="E13" s="63" t="str">
        <f>=HYPERLINK(_xlfn.CONCAT("pzplus.tck.mn/db?type=",A13,"&amp;variant=no"),IF(D13&lt;&gt;0,D13,A13))</f>
        <v>数墙</v>
      </c>
      <c r="F13" s="64">
        <v>1</v>
      </c>
      <c r="G13" s="65" t="s">
        <v>6</v>
      </c>
      <c r="H13" s="66" t="s">
        <v>71</v>
      </c>
      <c r="I13" s="74" t="s">
        <v>126</v>
      </c>
      <c r="J13" s="297">
        <f>=IF(LEN(I13)&gt;0,LEN(I13),"")</f>
        <v>75</v>
      </c>
      <c r="K13" s="62" t="s">
        <v>73</v>
      </c>
      <c r="L13" s="61" t="s">
        <v>127</v>
      </c>
      <c r="M13" s="373" t="s">
        <v>128</v>
      </c>
      <c r="N13" s="69">
        <v>1991</v>
      </c>
      <c r="O13" s="68" t="s">
        <v>76</v>
      </c>
    </row>
    <row r="14" spans="1:15">
      <c r="A14" s="59" t="s">
        <v>129</v>
      </c>
      <c r="B14" s="90">
        <v>1</v>
      </c>
      <c r="C14" s="604" t="s">
        <v>130</v>
      </c>
      <c r="D14" s="78" t="s">
        <v>131</v>
      </c>
      <c r="E14" s="79" t="str">
        <f>=HYPERLINK(_xlfn.CONCAT("pzplus.tck.mn/db?type=",A14,"&amp;variant=no"),IF(D14&lt;&gt;0,D14,A14))</f>
        <v>数间(空地)</v>
      </c>
      <c r="F14" s="64">
        <v>1</v>
      </c>
      <c r="G14" s="65" t="s">
        <v>6</v>
      </c>
      <c r="H14" s="66" t="s">
        <v>71</v>
      </c>
      <c r="I14" s="74" t="s">
        <v>132</v>
      </c>
      <c r="J14" s="298">
        <f>=IF(LEN(I14)&gt;0,LEN(I14),"")</f>
        <v>77</v>
      </c>
      <c r="K14" s="62" t="s">
        <v>133</v>
      </c>
      <c r="L14" s="62" t="s">
        <v>1473</v>
      </c>
      <c r="M14" s="373" t="s">
        <v>134</v>
      </c>
      <c r="N14" s="69" t="s">
        <v>116</v>
      </c>
      <c r="O14" s="68" t="s">
        <v>94</v>
      </c>
    </row>
    <row r="15" spans="1:15">
      <c r="A15" s="59" t="s">
        <v>135</v>
      </c>
      <c r="B15" s="90">
        <v>1</v>
      </c>
      <c r="C15" s="604" t="s">
        <v>136</v>
      </c>
      <c r="D15" s="87" t="s">
        <v>137</v>
      </c>
      <c r="E15" s="73" t="str">
        <f>=HYPERLINK(_xlfn.CONCAT("pzplus.tck.mn/db?type=",A15,"&amp;variant=no"),IF(D15&lt;&gt;0,D15,A15))</f>
        <v>峡谷</v>
      </c>
      <c r="F15" s="64">
        <v>1</v>
      </c>
      <c r="G15" s="65" t="s">
        <v>6</v>
      </c>
      <c r="H15" s="66" t="s">
        <v>71</v>
      </c>
      <c r="I15" s="74" t="s">
        <v>138</v>
      </c>
      <c r="J15" s="300">
        <f>=IF(LEN(I15)&gt;0,LEN(I15),"")</f>
        <v>80</v>
      </c>
      <c r="K15" s="62" t="s">
        <v>73</v>
      </c>
      <c r="L15" s="62" t="s">
        <v>74</v>
      </c>
      <c r="M15" s="373" t="s">
        <v>134</v>
      </c>
      <c r="N15" s="69">
        <v>2014</v>
      </c>
      <c r="O15" s="68" t="s">
        <v>94</v>
      </c>
    </row>
    <row r="16" spans="1:15">
      <c r="A16" s="59" t="s">
        <v>139</v>
      </c>
      <c r="B16" s="70">
        <v>0.8</v>
      </c>
      <c r="C16" s="604" t="s">
        <v>140</v>
      </c>
      <c r="D16" s="78" t="s">
        <v>141</v>
      </c>
      <c r="E16" s="79" t="str">
        <f>=HYPERLINK(_xlfn.CONCAT("pzplus.tck.mn/db?type=",A16,"&amp;variant=no"),IF(D16&lt;&gt;0,D16,A16))</f>
        <v>圆角房间</v>
      </c>
      <c r="F16" s="64">
        <v>1</v>
      </c>
      <c r="G16" s="65" t="s">
        <v>6</v>
      </c>
      <c r="H16" s="66" t="s">
        <v>71</v>
      </c>
      <c r="I16" s="74" t="s">
        <v>142</v>
      </c>
      <c r="J16" s="301">
        <f>=IF(LEN(I16)&gt;0,LEN(I16),"")</f>
        <v>82</v>
      </c>
      <c r="K16" s="62" t="s">
        <v>115</v>
      </c>
      <c r="L16" s="62" t="s">
        <v>1474</v>
      </c>
      <c r="M16" s="373" t="s">
        <v>143</v>
      </c>
      <c r="N16" s="69">
        <v>1997</v>
      </c>
      <c r="O16" s="68" t="s">
        <v>93</v>
      </c>
    </row>
    <row r="17" spans="1:15">
      <c r="A17" s="59" t="s">
        <v>144</v>
      </c>
      <c r="B17" s="90">
        <v>1</v>
      </c>
      <c r="C17" s="604" t="s">
        <v>145</v>
      </c>
      <c r="D17" s="78" t="s">
        <v>146</v>
      </c>
      <c r="E17" s="79" t="str">
        <f>=HYPERLINK(_xlfn.CONCAT("pzplus.tck.mn/db?type=",A17,"&amp;variant=no"),IF(D17&lt;&gt;0,D17,A17))</f>
        <v>单一谎言</v>
      </c>
      <c r="F17" s="64">
        <v>1</v>
      </c>
      <c r="G17" s="65" t="s">
        <v>6</v>
      </c>
      <c r="H17" s="66" t="s">
        <v>71</v>
      </c>
      <c r="I17" s="74" t="s">
        <v>147</v>
      </c>
      <c r="J17" s="301">
        <f>=IF(LEN(I17)&gt;0,LEN(I17),"")</f>
        <v>82</v>
      </c>
      <c r="K17" s="62" t="s">
        <v>148</v>
      </c>
      <c r="L17" s="62" t="s">
        <v>1475</v>
      </c>
      <c r="M17" s="373" t="s">
        <v>149</v>
      </c>
      <c r="N17" s="69">
        <v>2015</v>
      </c>
      <c r="O17" s="68" t="s">
        <v>93</v>
      </c>
    </row>
    <row r="18" spans="1:15">
      <c r="A18" s="59" t="s">
        <v>150</v>
      </c>
      <c r="B18" s="60">
        <v>1</v>
      </c>
      <c r="C18" s="604" t="s">
        <v>151</v>
      </c>
      <c r="D18" s="78" t="s">
        <v>152</v>
      </c>
      <c r="E18" s="79" t="str">
        <f>=HYPERLINK(_xlfn.CONCAT("pzplus.tck.mn/db?type=",A18,"&amp;variant=no"),IF(D18&lt;&gt;0,D18,A18))</f>
        <v>真假仙人</v>
      </c>
      <c r="F18" s="81">
        <v>1</v>
      </c>
      <c r="G18" s="82" t="s">
        <v>6</v>
      </c>
      <c r="H18" s="66" t="s">
        <v>71</v>
      </c>
      <c r="I18" s="74" t="s">
        <v>153</v>
      </c>
      <c r="J18" s="301">
        <f>=IF(LEN(I18)&gt;0,LEN(I18),"")</f>
        <v>82</v>
      </c>
      <c r="K18" s="62" t="s">
        <v>73</v>
      </c>
      <c r="L18" s="62" t="s">
        <v>1476</v>
      </c>
      <c r="M18" s="373" t="s">
        <v>154</v>
      </c>
      <c r="N18" s="69">
        <v>1998</v>
      </c>
      <c r="O18" s="68" t="s">
        <v>76</v>
      </c>
    </row>
    <row r="19" spans="1:15">
      <c r="A19" s="59" t="s">
        <v>155</v>
      </c>
      <c r="B19" s="60">
        <v>1</v>
      </c>
      <c r="C19" s="604" t="s">
        <v>156</v>
      </c>
      <c r="D19" s="78" t="s">
        <v>157</v>
      </c>
      <c r="E19" s="79" t="str">
        <f>=HYPERLINK(_xlfn.CONCAT("pzplus.tck.mn/db?type=",A19,"&amp;variant=no"),IF(D19&lt;&gt;0,D19,A19))</f>
        <v>田鼠挖洞</v>
      </c>
      <c r="F19" s="64">
        <v>1</v>
      </c>
      <c r="G19" s="65" t="s">
        <v>6</v>
      </c>
      <c r="H19" s="66" t="s">
        <v>71</v>
      </c>
      <c r="I19" s="74" t="s">
        <v>158</v>
      </c>
      <c r="J19" s="195">
        <f>=IF(LEN(I19)&gt;0,LEN(I19),"")</f>
        <v>84</v>
      </c>
      <c r="K19" s="62" t="s">
        <v>73</v>
      </c>
      <c r="L19" s="74" t="s">
        <v>1477</v>
      </c>
      <c r="M19" s="373" t="s">
        <v>159</v>
      </c>
      <c r="N19" s="69">
        <v>1991</v>
      </c>
      <c r="O19" s="68" t="s">
        <v>76</v>
      </c>
    </row>
    <row r="20" spans="1:15">
      <c r="A20" s="62" t="s">
        <v>160</v>
      </c>
      <c r="B20" s="60">
        <v>1</v>
      </c>
      <c r="C20" s="604" t="s">
        <v>161</v>
      </c>
      <c r="D20" s="62" t="s">
        <v>162</v>
      </c>
      <c r="E20" s="63" t="str">
        <f>=HYPERLINK(_xlfn.CONCAT("pzplus.tck.mn/db?type=",A20,"&amp;variant=no"),IF(D20&lt;&gt;0,D20,A20))</f>
        <v>涂鸦区域</v>
      </c>
      <c r="F20" s="64">
        <v>1</v>
      </c>
      <c r="G20" s="65" t="s">
        <v>6</v>
      </c>
      <c r="H20" s="66" t="s">
        <v>71</v>
      </c>
      <c r="I20" s="74" t="s">
        <v>163</v>
      </c>
      <c r="J20" s="195">
        <f>=IF(LEN(I20)&gt;0,LEN(I20),"")</f>
        <v>84</v>
      </c>
      <c r="K20" s="62" t="s">
        <v>104</v>
      </c>
      <c r="L20" s="62" t="s">
        <v>1478</v>
      </c>
      <c r="M20" s="373" t="s">
        <v>164</v>
      </c>
      <c r="N20" s="69">
        <v>1997</v>
      </c>
      <c r="O20" s="68" t="s">
        <v>93</v>
      </c>
    </row>
    <row r="21" spans="1:15">
      <c r="A21" s="62" t="s">
        <v>165</v>
      </c>
      <c r="B21" s="70">
        <v>0.8</v>
      </c>
      <c r="C21" s="604" t="s">
        <v>166</v>
      </c>
      <c r="D21" s="98" t="s">
        <v>167</v>
      </c>
      <c r="E21" s="73" t="str">
        <f>=HYPERLINK(_xlfn.CONCAT("pzplus.tck.mn/db?type=",A21,"&amp;variant=no"),IF(D21&lt;&gt;0,D21,A21))</f>
        <v>涂黑成对</v>
      </c>
      <c r="F21" s="64">
        <v>1</v>
      </c>
      <c r="G21" s="65" t="s">
        <v>6</v>
      </c>
      <c r="H21" s="66" t="s">
        <v>71</v>
      </c>
      <c r="I21" s="74" t="s">
        <v>168</v>
      </c>
      <c r="J21" s="170">
        <f>=IF(LEN(I21)&gt;0,LEN(I21),"")</f>
        <v>86</v>
      </c>
      <c r="K21" s="62" t="s">
        <v>169</v>
      </c>
      <c r="L21" s="62" t="s">
        <v>1479</v>
      </c>
      <c r="M21" s="595" t="s">
        <v>170</v>
      </c>
      <c r="N21" s="69">
        <v>2024</v>
      </c>
      <c r="O21" s="101" t="s">
        <v>82</v>
      </c>
    </row>
    <row r="22" spans="1:15">
      <c r="A22" s="59" t="s">
        <v>171</v>
      </c>
      <c r="B22" s="60">
        <v>1</v>
      </c>
      <c r="C22" s="604" t="s">
        <v>172</v>
      </c>
      <c r="D22" s="78" t="s">
        <v>173</v>
      </c>
      <c r="E22" s="79" t="str">
        <f>=HYPERLINK(_xlfn.CONCAT("pzplus.tck.mn/db?type=",A22,"&amp;variant=no"),IF(D22&lt;&gt;0,D22,A22))</f>
        <v>千岛湖</v>
      </c>
      <c r="F22" s="81">
        <v>1</v>
      </c>
      <c r="G22" s="82" t="s">
        <v>6</v>
      </c>
      <c r="H22" s="66" t="s">
        <v>71</v>
      </c>
      <c r="I22" s="74" t="s">
        <v>174</v>
      </c>
      <c r="J22" s="102">
        <f>=IF(LEN(I22)&gt;0,LEN(I22),"")</f>
        <v>89</v>
      </c>
      <c r="K22" s="62" t="s">
        <v>73</v>
      </c>
      <c r="L22" s="74" t="s">
        <v>1480</v>
      </c>
      <c r="M22" s="373" t="s">
        <v>175</v>
      </c>
      <c r="N22" s="69">
        <v>2023</v>
      </c>
      <c r="O22" s="68" t="s">
        <v>94</v>
      </c>
    </row>
    <row r="23" spans="1:15">
      <c r="A23" s="59" t="s">
        <v>176</v>
      </c>
      <c r="B23" s="60">
        <v>1</v>
      </c>
      <c r="C23" s="604" t="s">
        <v>177</v>
      </c>
      <c r="D23" s="78" t="s">
        <v>178</v>
      </c>
      <c r="E23" s="79" t="str">
        <f>=HYPERLINK(_xlfn.CONCAT("pzplus.tck.mn/db?type=",A23,"&amp;variant=no"),IF(D23&lt;&gt;0,D23,A23))</f>
        <v>黑斜白邻</v>
      </c>
      <c r="F23" s="81">
        <v>1</v>
      </c>
      <c r="G23" s="82" t="s">
        <v>6</v>
      </c>
      <c r="H23" s="66" t="s">
        <v>71</v>
      </c>
      <c r="I23" s="62" t="s">
        <v>179</v>
      </c>
      <c r="J23" s="102">
        <f>=IF(LEN(I23)&gt;0,LEN(I23),"")</f>
        <v>89</v>
      </c>
      <c r="K23" s="62" t="s">
        <v>180</v>
      </c>
      <c r="L23" s="62" t="s">
        <v>74</v>
      </c>
      <c r="M23" s="373" t="s">
        <v>181</v>
      </c>
      <c r="N23" s="103">
        <v>2022</v>
      </c>
      <c r="O23" s="68" t="s">
        <v>94</v>
      </c>
    </row>
    <row r="24" spans="1:15">
      <c r="A24" s="59" t="s">
        <v>182</v>
      </c>
      <c r="B24" s="60">
        <v>1</v>
      </c>
      <c r="C24" s="604" t="s">
        <v>183</v>
      </c>
      <c r="D24" s="87" t="s">
        <v>184</v>
      </c>
      <c r="E24" s="73" t="str">
        <f>=HYPERLINK(_xlfn.CONCAT("pzplus.tck.mn/db?type=",A24,"&amp;variant=no"),IF(D24&lt;&gt;0,D24,A24))</f>
        <v>山洞</v>
      </c>
      <c r="F24" s="81">
        <v>1</v>
      </c>
      <c r="G24" s="82" t="s">
        <v>6</v>
      </c>
      <c r="H24" s="66" t="s">
        <v>71</v>
      </c>
      <c r="I24" s="74" t="s">
        <v>185</v>
      </c>
      <c r="J24" s="104">
        <f>=IF(LEN(I24)&gt;0,LEN(I24),"")</f>
        <v>92</v>
      </c>
      <c r="K24" s="62" t="s">
        <v>186</v>
      </c>
      <c r="L24" s="74" t="s">
        <v>74</v>
      </c>
      <c r="M24" s="373" t="s">
        <v>187</v>
      </c>
      <c r="N24" s="105">
        <v>1996</v>
      </c>
      <c r="O24" s="68" t="s">
        <v>76</v>
      </c>
    </row>
    <row r="25" spans="1:15">
      <c r="A25" s="59" t="s">
        <v>188</v>
      </c>
      <c r="B25" s="90">
        <v>1</v>
      </c>
      <c r="C25" s="604" t="s">
        <v>189</v>
      </c>
      <c r="D25" s="78" t="s">
        <v>190</v>
      </c>
      <c r="E25" s="79" t="str">
        <f>=HYPERLINK(_xlfn.CONCAT("pzplus.tck.mn/db?type=",A25,"&amp;variant=no"),IF(D25&lt;&gt;0,D25,A25))</f>
        <v>指引箭头</v>
      </c>
      <c r="F25" s="81">
        <v>1</v>
      </c>
      <c r="G25" s="82" t="s">
        <v>6</v>
      </c>
      <c r="H25" s="66" t="s">
        <v>71</v>
      </c>
      <c r="I25" s="74" t="s">
        <v>191</v>
      </c>
      <c r="J25" s="106">
        <f>=IF(LEN(I25)&gt;0,LEN(I25),"")</f>
        <v>94</v>
      </c>
      <c r="K25" s="62" t="s">
        <v>109</v>
      </c>
      <c r="L25" s="62" t="s">
        <v>74</v>
      </c>
      <c r="M25" s="373" t="s">
        <v>81</v>
      </c>
      <c r="N25" s="69">
        <v>2004</v>
      </c>
      <c r="O25" s="68" t="s">
        <v>94</v>
      </c>
    </row>
    <row r="26" spans="1:15">
      <c r="A26" s="59" t="s">
        <v>192</v>
      </c>
      <c r="B26" s="60">
        <v>1</v>
      </c>
      <c r="C26" s="604" t="s">
        <v>193</v>
      </c>
      <c r="D26" s="78" t="s">
        <v>194</v>
      </c>
      <c r="E26" s="79" t="str">
        <f>=HYPERLINK(_xlfn.CONCAT("pzplus.tck.mn/db?type=",A26,"&amp;variant=no"),IF(D26&lt;&gt;0,D26,A26))</f>
        <v>对称数间</v>
      </c>
      <c r="F26" s="81">
        <v>1</v>
      </c>
      <c r="G26" s="82" t="s">
        <v>6</v>
      </c>
      <c r="H26" s="66" t="s">
        <v>71</v>
      </c>
      <c r="I26" s="74" t="s">
        <v>195</v>
      </c>
      <c r="J26" s="108">
        <f>=IF(LEN(I26)&gt;0,LEN(I26),"")</f>
        <v>95</v>
      </c>
      <c r="K26" s="62" t="s">
        <v>196</v>
      </c>
      <c r="L26" s="62" t="s">
        <v>197</v>
      </c>
      <c r="M26" s="89" t="s"/>
      <c r="N26" s="76" t="s"/>
      <c r="O26" s="89" t="s"/>
    </row>
    <row r="27" spans="1:15">
      <c r="A27" s="59" t="s">
        <v>198</v>
      </c>
      <c r="B27" s="70">
        <v>0.8</v>
      </c>
      <c r="C27" s="604" t="s">
        <v>199</v>
      </c>
      <c r="D27" s="78" t="s">
        <v>200</v>
      </c>
      <c r="E27" s="79" t="str">
        <f>=HYPERLINK(_xlfn.CONCAT("pzplus.tck.mn/db?type=",A27,"&amp;variant=no"),IF(D27&lt;&gt;0,D27,A27))</f>
        <v>绿洲</v>
      </c>
      <c r="F27" s="81">
        <v>1</v>
      </c>
      <c r="G27" s="82" t="s">
        <v>6</v>
      </c>
      <c r="H27" s="66" t="s">
        <v>71</v>
      </c>
      <c r="I27" s="74" t="s">
        <v>201</v>
      </c>
      <c r="J27" s="108">
        <f>=IF(LEN(I27)&gt;0,LEN(I27),"")</f>
        <v>95</v>
      </c>
      <c r="K27" s="62" t="s">
        <v>202</v>
      </c>
      <c r="L27" s="74" t="s">
        <v>74</v>
      </c>
      <c r="M27" s="373" t="s">
        <v>203</v>
      </c>
      <c r="N27" s="69">
        <v>2016</v>
      </c>
      <c r="O27" s="68" t="s">
        <v>94</v>
      </c>
    </row>
    <row r="28" spans="1:15">
      <c r="A28" s="59" t="s">
        <v>204</v>
      </c>
      <c r="B28" s="90">
        <v>1</v>
      </c>
      <c r="C28" s="604" t="s">
        <v>205</v>
      </c>
      <c r="D28" s="62" t="s">
        <v>206</v>
      </c>
      <c r="E28" s="63" t="str">
        <f>=HYPERLINK(_xlfn.CONCAT("pzplus.tck.mn/db?type=",A28,"&amp;variant=no"),IF(D28&lt;&gt;0,D28,A28))</f>
        <v>数岬</v>
      </c>
      <c r="F28" s="81">
        <v>1</v>
      </c>
      <c r="G28" s="82" t="s">
        <v>6</v>
      </c>
      <c r="H28" s="66" t="s">
        <v>71</v>
      </c>
      <c r="I28" s="74" t="s">
        <v>207</v>
      </c>
      <c r="J28" s="109">
        <f>=IF(LEN(I28)&gt;0,LEN(I28),"")</f>
        <v>109</v>
      </c>
      <c r="K28" s="62" t="s">
        <v>73</v>
      </c>
      <c r="L28" s="62" t="s">
        <v>1481</v>
      </c>
      <c r="M28" s="373" t="s">
        <v>208</v>
      </c>
      <c r="N28" s="69">
        <v>2018</v>
      </c>
      <c r="O28" s="68" t="s">
        <v>209</v>
      </c>
    </row>
    <row r="29" spans="1:15">
      <c r="A29" s="62" t="s">
        <v>210</v>
      </c>
      <c r="B29" s="70">
        <v>0.8</v>
      </c>
      <c r="C29" s="604" t="s">
        <v>211</v>
      </c>
      <c r="D29" s="87" t="s">
        <v>212</v>
      </c>
      <c r="E29" s="73" t="str">
        <f>=HYPERLINK(_xlfn.CONCAT("pzplus.tck.mn/db?type=",A29,"&amp;variant=no"),IF(D29&lt;&gt;0,D29,A29))</f>
        <v>曲尺数墙</v>
      </c>
      <c r="F29" s="81">
        <v>1</v>
      </c>
      <c r="G29" s="82" t="s">
        <v>6</v>
      </c>
      <c r="H29" s="66" t="s">
        <v>71</v>
      </c>
      <c r="I29" s="74" t="s">
        <v>213</v>
      </c>
      <c r="J29" s="110">
        <f>=IF(LEN(I29)&gt;0,LEN(I29),"")</f>
        <v>120</v>
      </c>
      <c r="K29" s="62" t="s">
        <v>214</v>
      </c>
      <c r="L29" s="74" t="s">
        <v>1482</v>
      </c>
      <c r="M29" s="595" t="s">
        <v>215</v>
      </c>
      <c r="N29" s="69" t="s">
        <v>116</v>
      </c>
      <c r="O29" s="101" t="s">
        <v>94</v>
      </c>
    </row>
    <row r="30" spans="1:15">
      <c r="A30" s="59" t="s">
        <v>216</v>
      </c>
      <c r="B30" s="60">
        <v>1</v>
      </c>
      <c r="C30" s="604" t="s">
        <v>217</v>
      </c>
      <c r="D30" s="78" t="s">
        <v>218</v>
      </c>
      <c r="E30" s="79" t="str">
        <f>=HYPERLINK(_xlfn.CONCAT("pzplus.tck.mn/db?type=",A30,"&amp;variant=no"),IF(D30&lt;&gt;0,D30,A30))</f>
        <v>单房门</v>
      </c>
      <c r="F30" s="81">
        <v>1</v>
      </c>
      <c r="G30" s="82" t="s">
        <v>6</v>
      </c>
      <c r="H30" s="66" t="s">
        <v>71</v>
      </c>
      <c r="I30" s="62" t="s">
        <v>219</v>
      </c>
      <c r="J30" s="201">
        <f>=IF(LEN(I30)&gt;0,LEN(I30),"")</f>
        <v>128</v>
      </c>
      <c r="K30" s="62" t="s">
        <v>109</v>
      </c>
      <c r="L30" s="62" t="s">
        <v>74</v>
      </c>
      <c r="M30" s="597" t="s">
        <v>220</v>
      </c>
      <c r="N30" s="69">
        <v>2019</v>
      </c>
      <c r="O30" s="86" t="s">
        <v>82</v>
      </c>
    </row>
    <row r="31" spans="1:15">
      <c r="A31" s="59" t="s">
        <v>221</v>
      </c>
      <c r="B31" s="60">
        <v>1</v>
      </c>
      <c r="C31" s="604" t="s">
        <v>222</v>
      </c>
      <c r="D31" s="62" t="s">
        <v>223</v>
      </c>
      <c r="E31" s="63" t="str">
        <f>=HYPERLINK(_xlfn.CONCAT("pzplus.tck.mn/db?type=",A31,"&amp;variant=no"),IF(D31&lt;&gt;0,D31,A31))</f>
        <v>过河</v>
      </c>
      <c r="F31" s="81">
        <v>1</v>
      </c>
      <c r="G31" s="82" t="s">
        <v>6</v>
      </c>
      <c r="H31" s="66" t="s">
        <v>71</v>
      </c>
      <c r="I31" s="74" t="s">
        <v>224</v>
      </c>
      <c r="J31" s="111">
        <f>=IF(LEN(I31)&gt;0,LEN(I31),"")</f>
        <v>129</v>
      </c>
      <c r="K31" s="62" t="s">
        <v>73</v>
      </c>
      <c r="L31" s="74" t="s">
        <v>74</v>
      </c>
      <c r="M31" s="373" t="s">
        <v>215</v>
      </c>
      <c r="N31" s="69">
        <v>2010</v>
      </c>
      <c r="O31" s="68" t="s">
        <v>94</v>
      </c>
    </row>
    <row r="32" spans="1:15">
      <c r="A32" s="59" t="s">
        <v>225</v>
      </c>
      <c r="B32" s="60">
        <v>1</v>
      </c>
      <c r="C32" s="604" t="s">
        <v>226</v>
      </c>
      <c r="D32" s="62" t="s">
        <v>227</v>
      </c>
      <c r="E32" s="63" t="str">
        <f>=HYPERLINK(_xlfn.CONCAT("pzplus.tck.mn/db?type=",A32,"&amp;variant=no"),IF(D32&lt;&gt;0,D32,A32))</f>
        <v>珊瑚</v>
      </c>
      <c r="F32" s="81">
        <v>1</v>
      </c>
      <c r="G32" s="82" t="s">
        <v>6</v>
      </c>
      <c r="H32" s="66" t="s">
        <v>71</v>
      </c>
      <c r="I32" s="74" t="s">
        <v>228</v>
      </c>
      <c r="J32" s="114">
        <f>=IF(LEN(I32)&gt;0,LEN(I32),"")</f>
        <v>133</v>
      </c>
      <c r="K32" s="62" t="s">
        <v>229</v>
      </c>
      <c r="L32" s="74" t="s">
        <v>74</v>
      </c>
      <c r="M32" s="373" t="s">
        <v>230</v>
      </c>
      <c r="N32" s="69">
        <v>2001</v>
      </c>
      <c r="O32" s="68" t="s">
        <v>94</v>
      </c>
    </row>
    <row r="33" spans="1:15">
      <c r="A33" s="59" t="s">
        <v>231</v>
      </c>
      <c r="B33" s="90">
        <v>1</v>
      </c>
      <c r="C33" s="604" t="s">
        <v>232</v>
      </c>
      <c r="D33" s="62" t="s">
        <v>233</v>
      </c>
      <c r="E33" s="63" t="str">
        <f>=HYPERLINK(_xlfn.CONCAT("pzplus.tck.mn/db?type=",A33,"&amp;variant=no"),IF(D33&lt;&gt;0,D33,A33))</f>
        <v>土派艺术</v>
      </c>
      <c r="F33" s="81">
        <v>1</v>
      </c>
      <c r="G33" s="82" t="s">
        <v>6</v>
      </c>
      <c r="H33" s="66" t="s">
        <v>71</v>
      </c>
      <c r="I33" s="74" t="s">
        <v>234</v>
      </c>
      <c r="J33" s="115">
        <f>=IF(LEN(I33)&gt;0,LEN(I33),"")</f>
        <v>138</v>
      </c>
      <c r="K33" s="62" t="s">
        <v>73</v>
      </c>
      <c r="L33" s="116" t="s">
        <v>235</v>
      </c>
      <c r="M33" s="373" t="s">
        <v>236</v>
      </c>
      <c r="N33" s="69">
        <v>2007</v>
      </c>
      <c r="O33" s="68" t="s">
        <v>94</v>
      </c>
    </row>
    <row r="34" spans="1:15">
      <c r="A34" s="59" t="s">
        <v>237</v>
      </c>
      <c r="B34" s="60">
        <v>1</v>
      </c>
      <c r="C34" s="604" t="s">
        <v>238</v>
      </c>
      <c r="D34" s="62" t="s">
        <v>239</v>
      </c>
      <c r="E34" s="63" t="str">
        <f>=HYPERLINK(_xlfn.CONCAT("pzplus.tck.mn/db?type=",A34,"&amp;variant=no"),IF(D34&lt;&gt;0,D34,A34))</f>
        <v>迷宫地图</v>
      </c>
      <c r="F34" s="81">
        <v>1</v>
      </c>
      <c r="G34" s="82" t="s">
        <v>6</v>
      </c>
      <c r="H34" s="66" t="s">
        <v>71</v>
      </c>
      <c r="I34" s="74" t="s">
        <v>240</v>
      </c>
      <c r="J34" s="117">
        <f>=IF(LEN(I34)&gt;0,LEN(I34),"")</f>
        <v>154</v>
      </c>
      <c r="K34" s="62" t="s">
        <v>73</v>
      </c>
      <c r="L34" s="98" t="s">
        <v>1483</v>
      </c>
      <c r="M34" s="373" t="s">
        <v>241</v>
      </c>
      <c r="N34" s="69">
        <v>2013</v>
      </c>
      <c r="O34" s="68" t="s">
        <v>93</v>
      </c>
    </row>
    <row r="35" spans="1:15">
      <c r="A35" s="59" t="s">
        <v>242</v>
      </c>
      <c r="B35" s="60">
        <v>1</v>
      </c>
      <c r="C35" s="604" t="s">
        <v>243</v>
      </c>
      <c r="D35" s="62" t="s">
        <v>244</v>
      </c>
      <c r="E35" s="63" t="str">
        <f>=HYPERLINK(_xlfn.CONCAT("pzplus.tck.mn/db?type=",A35,"&amp;variant=no"),IF(D35&lt;&gt;0,D35,A35))</f>
        <v>海苔</v>
      </c>
      <c r="F35" s="118">
        <v>2</v>
      </c>
      <c r="G35" s="119" t="s">
        <v>8</v>
      </c>
      <c r="H35" s="66" t="s">
        <v>245</v>
      </c>
      <c r="I35" s="74" t="s">
        <v>246</v>
      </c>
      <c r="J35" s="120">
        <f>=IF(LEN(I35)&gt;0,LEN(I35),"")</f>
        <v>30</v>
      </c>
      <c r="K35" s="62" t="s">
        <v>73</v>
      </c>
      <c r="L35" s="62" t="s">
        <v>1484</v>
      </c>
      <c r="M35" s="373" t="s">
        <v>247</v>
      </c>
      <c r="N35" s="69">
        <v>2008</v>
      </c>
      <c r="O35" s="68" t="s">
        <v>76</v>
      </c>
    </row>
    <row r="36" spans="1:15">
      <c r="A36" s="59" t="s">
        <v>248</v>
      </c>
      <c r="B36" s="60">
        <v>1</v>
      </c>
      <c r="C36" s="604" t="s">
        <v>249</v>
      </c>
      <c r="D36" s="62" t="s">
        <v>250</v>
      </c>
      <c r="E36" s="63" t="str">
        <f>=HYPERLINK(_xlfn.CONCAT("pzplus.tck.mn/db?type=",A36,"&amp;variant=no"),IF(D36&lt;&gt;0,D36,A36))</f>
        <v>巧克力</v>
      </c>
      <c r="F36" s="118">
        <v>2</v>
      </c>
      <c r="G36" s="119" t="s">
        <v>8</v>
      </c>
      <c r="H36" s="66" t="s">
        <v>251</v>
      </c>
      <c r="I36" s="74" t="s">
        <v>252</v>
      </c>
      <c r="J36" s="121">
        <f>=IF(LEN(I36)&gt;0,LEN(I36),"")</f>
        <v>40</v>
      </c>
      <c r="K36" s="62" t="s">
        <v>115</v>
      </c>
      <c r="L36" s="62" t="s">
        <v>1485</v>
      </c>
      <c r="M36" s="373" t="s">
        <v>253</v>
      </c>
      <c r="N36" s="69">
        <v>2008</v>
      </c>
      <c r="O36" s="68" t="s">
        <v>76</v>
      </c>
    </row>
    <row r="37" spans="1:15">
      <c r="A37" s="59" t="s">
        <v>254</v>
      </c>
      <c r="B37" s="90">
        <v>1</v>
      </c>
      <c r="C37" s="604" t="s">
        <v>255</v>
      </c>
      <c r="D37" s="62" t="s">
        <v>256</v>
      </c>
      <c r="E37" s="63" t="str">
        <f>=HYPERLINK(_xlfn.CONCAT("pzplus.tck.mn/db?type=",A37,"&amp;variant=no"),IF(D37&lt;&gt;0,D37,A37))</f>
        <v>方阵和</v>
      </c>
      <c r="F37" s="118">
        <v>2</v>
      </c>
      <c r="G37" s="119" t="s">
        <v>8</v>
      </c>
      <c r="H37" s="66" t="s">
        <v>257</v>
      </c>
      <c r="I37" s="74" t="s">
        <v>258</v>
      </c>
      <c r="J37" s="122">
        <f>=IF(LEN(I37)&gt;0,LEN(I37),"")</f>
        <v>47</v>
      </c>
      <c r="K37" s="62" t="s">
        <v>104</v>
      </c>
      <c r="L37" s="74" t="s">
        <v>74</v>
      </c>
      <c r="M37" s="598" t="s">
        <v>259</v>
      </c>
      <c r="N37" s="85">
        <v>1989</v>
      </c>
      <c r="O37" s="101" t="s">
        <v>76</v>
      </c>
    </row>
    <row r="38" spans="1:15">
      <c r="A38" s="62" t="s">
        <v>260</v>
      </c>
      <c r="B38" s="90">
        <v>1</v>
      </c>
      <c r="C38" s="604" t="s">
        <v>261</v>
      </c>
      <c r="D38" s="62" t="s">
        <v>262</v>
      </c>
      <c r="E38" s="63" t="str">
        <f>=HYPERLINK(_xlfn.CONCAT("pzplus.tck.mn/db?type=",A38,"&amp;variant=no"),IF(D38&lt;&gt;0,D38,A38))</f>
        <v>数瓦</v>
      </c>
      <c r="F38" s="118">
        <v>2</v>
      </c>
      <c r="G38" s="119" t="s">
        <v>8</v>
      </c>
      <c r="H38" s="66" t="s">
        <v>257</v>
      </c>
      <c r="I38" s="74" t="s">
        <v>263</v>
      </c>
      <c r="J38" s="122">
        <f>=IF(LEN(I38)&gt;0,LEN(I38),"")</f>
        <v>47</v>
      </c>
      <c r="K38" s="62" t="s">
        <v>104</v>
      </c>
      <c r="L38" s="62" t="s">
        <v>1486</v>
      </c>
      <c r="M38" s="373" t="s">
        <v>264</v>
      </c>
      <c r="N38" s="69">
        <v>1995</v>
      </c>
      <c r="O38" s="68" t="s">
        <v>76</v>
      </c>
    </row>
    <row r="39" spans="1:15">
      <c r="A39" s="59" t="s">
        <v>265</v>
      </c>
      <c r="B39" s="90">
        <v>1</v>
      </c>
      <c r="C39" s="604" t="s">
        <v>266</v>
      </c>
      <c r="D39" s="62" t="s">
        <v>267</v>
      </c>
      <c r="E39" s="63" t="str">
        <f>=HYPERLINK(_xlfn.CONCAT("pzplus.tck.mn/db?type=",A39,"&amp;variant=no"),IF(D39&lt;&gt;0,D39,A39))</f>
        <v>巧克力香蕉</v>
      </c>
      <c r="F39" s="118">
        <v>2</v>
      </c>
      <c r="G39" s="119" t="s">
        <v>8</v>
      </c>
      <c r="H39" s="66" t="s">
        <v>268</v>
      </c>
      <c r="I39" s="74" t="s">
        <v>269</v>
      </c>
      <c r="J39" s="303">
        <f>=IF(LEN(I39)&gt;0,LEN(I39),"")</f>
        <v>60</v>
      </c>
      <c r="K39" s="62" t="s">
        <v>73</v>
      </c>
      <c r="L39" s="62" t="s">
        <v>74</v>
      </c>
      <c r="M39" s="428" t="s">
        <v>93</v>
      </c>
      <c r="N39" s="76" t="s"/>
      <c r="O39" s="126" t="s"/>
    </row>
    <row r="40" spans="1:15">
      <c r="A40" s="62" t="s">
        <v>270</v>
      </c>
      <c r="B40" s="70">
        <v>0.8</v>
      </c>
      <c r="C40" s="604" t="s">
        <v>271</v>
      </c>
      <c r="D40" s="127" t="s">
        <v>272</v>
      </c>
      <c r="E40" s="63" t="str">
        <f>=HYPERLINK(_xlfn.CONCAT("pzplus.tck.mn/db?type=",A40,"&amp;variant=no"),IF(D40&lt;&gt;0,D40,A40))</f>
        <v>波斯尼亚路</v>
      </c>
      <c r="F40" s="118">
        <v>2</v>
      </c>
      <c r="G40" s="119" t="s">
        <v>8</v>
      </c>
      <c r="H40" s="66" t="s">
        <v>273</v>
      </c>
      <c r="I40" s="74" t="s">
        <v>274</v>
      </c>
      <c r="J40" s="304">
        <f>=IF(LEN(I40)&gt;0,LEN(I40),"")</f>
        <v>62</v>
      </c>
      <c r="K40" s="127" t="s">
        <v>202</v>
      </c>
      <c r="L40" s="62" t="s">
        <v>74</v>
      </c>
      <c r="M40" s="89" t="s">
        <v>275</v>
      </c>
      <c r="N40" s="69" t="s">
        <v>116</v>
      </c>
      <c r="O40" s="89" t="s">
        <v>94</v>
      </c>
    </row>
    <row r="41" spans="1:15">
      <c r="A41" s="62" t="s">
        <v>276</v>
      </c>
      <c r="B41" s="60">
        <v>1</v>
      </c>
      <c r="C41" s="604" t="s">
        <v>277</v>
      </c>
      <c r="D41" s="127" t="s">
        <v>278</v>
      </c>
      <c r="E41" s="63" t="str">
        <f>=HYPERLINK(_xlfn.CONCAT("pzplus.tck.mn/db?type=",A41,"&amp;variant=no"),IF(D41&lt;&gt;0,D41,A41))</f>
        <v>合页</v>
      </c>
      <c r="F41" s="118">
        <v>2</v>
      </c>
      <c r="G41" s="119" t="s">
        <v>8</v>
      </c>
      <c r="H41" s="66" t="s">
        <v>279</v>
      </c>
      <c r="I41" s="74" t="s">
        <v>280</v>
      </c>
      <c r="J41" s="305">
        <f>=IF(LEN(I41)&gt;0,LEN(I41),"")</f>
        <v>66</v>
      </c>
      <c r="K41" s="127" t="s">
        <v>104</v>
      </c>
      <c r="L41" s="130" t="s">
        <v>74</v>
      </c>
      <c r="M41" s="89" t="s">
        <v>281</v>
      </c>
      <c r="N41" s="69">
        <v>2017</v>
      </c>
      <c r="O41" s="89" t="s">
        <v>93</v>
      </c>
    </row>
    <row r="42" spans="1:15">
      <c r="A42" s="59" t="s">
        <v>282</v>
      </c>
      <c r="B42" s="90">
        <v>1</v>
      </c>
      <c r="C42" s="604" t="s">
        <v>283</v>
      </c>
      <c r="D42" s="127" t="s">
        <v>284</v>
      </c>
      <c r="E42" s="63" t="str">
        <f>=HYPERLINK(_xlfn.CONCAT("pzplus.tck.mn/db?type=",A42,"&amp;variant=no"),IF(D42&lt;&gt;0,D42,A42))</f>
        <v>蛇蛋</v>
      </c>
      <c r="F42" s="118">
        <v>2</v>
      </c>
      <c r="G42" s="119" t="s">
        <v>8</v>
      </c>
      <c r="H42" s="66" t="s">
        <v>285</v>
      </c>
      <c r="I42" s="74" t="s">
        <v>286</v>
      </c>
      <c r="J42" s="305">
        <f>=IF(LEN(I42)&gt;0,LEN(I42),"")</f>
        <v>66</v>
      </c>
      <c r="K42" s="127" t="s">
        <v>148</v>
      </c>
      <c r="L42" s="127" t="s">
        <v>74</v>
      </c>
      <c r="M42" s="131" t="s"/>
      <c r="N42" s="76" t="s"/>
      <c r="O42" s="89" t="s"/>
    </row>
    <row r="43" spans="1:15">
      <c r="A43" s="59" t="s">
        <v>287</v>
      </c>
      <c r="B43" s="60">
        <v>1</v>
      </c>
      <c r="C43" s="604" t="s">
        <v>288</v>
      </c>
      <c r="D43" s="127" t="s">
        <v>289</v>
      </c>
      <c r="E43" s="63" t="str">
        <f>=HYPERLINK(_xlfn.CONCAT("pzplus.tck.mn/db?type=",A43,"&amp;variant=no"),IF(D43&lt;&gt;0,D43,A43))</f>
        <v>阴阳</v>
      </c>
      <c r="F43" s="118">
        <v>2</v>
      </c>
      <c r="G43" s="119" t="s">
        <v>8</v>
      </c>
      <c r="H43" s="66" t="s">
        <v>268</v>
      </c>
      <c r="I43" s="74" t="s">
        <v>290</v>
      </c>
      <c r="J43" s="305">
        <f>=IF(LEN(I43)&gt;0,LEN(I43),"")</f>
        <v>66</v>
      </c>
      <c r="K43" s="127" t="s">
        <v>229</v>
      </c>
      <c r="L43" s="127" t="s">
        <v>74</v>
      </c>
      <c r="M43" s="89" t="s">
        <v>291</v>
      </c>
      <c r="N43" s="76">
        <v>1993</v>
      </c>
      <c r="O43" s="89" t="s">
        <v>94</v>
      </c>
    </row>
    <row r="44" spans="1:15">
      <c r="A44" s="59" t="s">
        <v>292</v>
      </c>
      <c r="B44" s="60">
        <v>1</v>
      </c>
      <c r="C44" s="604" t="s">
        <v>293</v>
      </c>
      <c r="D44" s="127" t="s">
        <v>294</v>
      </c>
      <c r="E44" s="63" t="str">
        <f>=HYPERLINK(_xlfn.CONCAT("pzplus.tck.mn/db?type=",A44,"&amp;variant=no"),IF(D44&lt;&gt;0,D44,A44))</f>
        <v>摇啊摇</v>
      </c>
      <c r="F44" s="118">
        <v>2</v>
      </c>
      <c r="G44" s="119" t="s">
        <v>8</v>
      </c>
      <c r="H44" s="66" t="s">
        <v>251</v>
      </c>
      <c r="I44" s="74" t="s">
        <v>295</v>
      </c>
      <c r="J44" s="306">
        <f>=IF(LEN(I44)&gt;0,LEN(I44),"")</f>
        <v>70</v>
      </c>
      <c r="K44" s="127" t="s">
        <v>73</v>
      </c>
      <c r="L44" s="62" t="s">
        <v>1487</v>
      </c>
      <c r="M44" s="89" t="s">
        <v>296</v>
      </c>
      <c r="N44" s="76">
        <v>2008</v>
      </c>
      <c r="O44" s="89" t="s">
        <v>76</v>
      </c>
    </row>
    <row r="45" spans="1:15">
      <c r="A45" s="59" t="s">
        <v>297</v>
      </c>
      <c r="B45" s="90">
        <v>1</v>
      </c>
      <c r="C45" s="604" t="s">
        <v>298</v>
      </c>
      <c r="D45" s="127" t="s">
        <v>299</v>
      </c>
      <c r="E45" s="63" t="str">
        <f>=HYPERLINK(_xlfn.CONCAT("pzplus.tck.mn/db?type=",A45,"&amp;variant=no"),IF(D45&lt;&gt;0,D45,A45))</f>
        <v>多米诺分区</v>
      </c>
      <c r="F45" s="118">
        <v>2</v>
      </c>
      <c r="G45" s="119" t="s">
        <v>8</v>
      </c>
      <c r="H45" s="66" t="s">
        <v>300</v>
      </c>
      <c r="I45" s="74" t="s">
        <v>301</v>
      </c>
      <c r="J45" s="307">
        <f>=IF(LEN(I45)&gt;0,LEN(I45),"")</f>
        <v>71</v>
      </c>
      <c r="K45" s="127" t="s">
        <v>109</v>
      </c>
      <c r="L45" s="130" t="s">
        <v>74</v>
      </c>
      <c r="M45" s="89" t="s">
        <v>81</v>
      </c>
      <c r="N45" s="76">
        <v>2010</v>
      </c>
      <c r="O45" s="89" t="s">
        <v>94</v>
      </c>
    </row>
    <row r="46" spans="1:15">
      <c r="A46" s="59" t="s">
        <v>302</v>
      </c>
      <c r="B46" s="90">
        <v>1</v>
      </c>
      <c r="C46" s="604" t="s">
        <v>303</v>
      </c>
      <c r="D46" s="127" t="s">
        <v>304</v>
      </c>
      <c r="E46" s="63" t="str">
        <f>=HYPERLINK(_xlfn.CONCAT("pzplus.tck.mn/db?type=",A46,"&amp;variant=no"),IF(D46&lt;&gt;0,D46,A46))</f>
        <v>数蛇</v>
      </c>
      <c r="F46" s="118">
        <v>2</v>
      </c>
      <c r="G46" s="119" t="s">
        <v>8</v>
      </c>
      <c r="H46" s="66" t="s">
        <v>285</v>
      </c>
      <c r="I46" s="134" t="s">
        <v>305</v>
      </c>
      <c r="J46" s="308">
        <f>=IF(LEN(I46)&gt;0,LEN(I46),"")</f>
        <v>72</v>
      </c>
      <c r="K46" s="127" t="s">
        <v>73</v>
      </c>
      <c r="L46" s="127" t="s">
        <v>74</v>
      </c>
      <c r="M46" s="89" t="s">
        <v>306</v>
      </c>
      <c r="N46" s="76" t="s">
        <v>307</v>
      </c>
      <c r="O46" s="89" t="s">
        <v>308</v>
      </c>
    </row>
    <row r="47" spans="1:15">
      <c r="A47" s="62" t="s">
        <v>309</v>
      </c>
      <c r="B47" s="90">
        <v>1</v>
      </c>
      <c r="C47" s="604" t="s">
        <v>310</v>
      </c>
      <c r="D47" s="127" t="s">
        <v>311</v>
      </c>
      <c r="E47" s="63" t="str">
        <f>=HYPERLINK(_xlfn.CONCAT("pzplus.tck.mn/db?type=",A47,"&amp;variant=no"),IF(D47&lt;&gt;0,D47,A47))</f>
        <v>方圆</v>
      </c>
      <c r="F47" s="118">
        <v>2</v>
      </c>
      <c r="G47" s="119" t="s">
        <v>8</v>
      </c>
      <c r="H47" s="66" t="s">
        <v>312</v>
      </c>
      <c r="I47" s="74" t="s">
        <v>313</v>
      </c>
      <c r="J47" s="297">
        <f>=IF(LEN(I47)&gt;0,LEN(I47),"")</f>
        <v>75</v>
      </c>
      <c r="K47" s="127" t="s">
        <v>115</v>
      </c>
      <c r="L47" s="136" t="s">
        <v>74</v>
      </c>
      <c r="M47" s="137" t="s">
        <v>314</v>
      </c>
      <c r="N47" s="76">
        <v>2022</v>
      </c>
      <c r="O47" s="137" t="s">
        <v>94</v>
      </c>
    </row>
    <row r="48" spans="1:15">
      <c r="A48" s="59" t="s">
        <v>315</v>
      </c>
      <c r="B48" s="90">
        <v>1</v>
      </c>
      <c r="C48" s="604" t="s">
        <v>316</v>
      </c>
      <c r="D48" s="127" t="s">
        <v>317</v>
      </c>
      <c r="E48" s="63" t="str">
        <f>=HYPERLINK(_xlfn.CONCAT("pzplus.tck.mn/db?type=",A48,"&amp;variant=no"),IF(D48&lt;&gt;0,D48,A48))</f>
        <v>四格骨牌链(指)</v>
      </c>
      <c r="F48" s="118">
        <v>2</v>
      </c>
      <c r="G48" s="119" t="s">
        <v>8</v>
      </c>
      <c r="H48" s="138" t="s">
        <v>318</v>
      </c>
      <c r="I48" s="139" t="s">
        <v>319</v>
      </c>
      <c r="J48" s="309">
        <f>=IF(LEN(I48)&gt;0,LEN(I48),"")</f>
        <v>76</v>
      </c>
      <c r="K48" s="62" t="s">
        <v>229</v>
      </c>
      <c r="L48" s="62" t="s">
        <v>1488</v>
      </c>
      <c r="M48" s="373" t="s">
        <v>320</v>
      </c>
      <c r="N48" s="76" t="s"/>
      <c r="O48" s="68" t="s">
        <v>82</v>
      </c>
    </row>
    <row r="49" spans="1:15">
      <c r="A49" s="59" t="s">
        <v>321</v>
      </c>
      <c r="B49" s="141">
        <v>0</v>
      </c>
      <c r="C49" s="604" t="s">
        <v>322</v>
      </c>
      <c r="D49" s="62" t="s">
        <v>323</v>
      </c>
      <c r="E49" s="63" t="str">
        <f>=HYPERLINK(_xlfn.CONCAT("pzplus.tck.mn/db?type=",A49,"&amp;variant=no"),IF(D49&lt;&gt;0,D49,A49))</f>
        <v>围棋</v>
      </c>
      <c r="F49" s="118">
        <v>2</v>
      </c>
      <c r="G49" s="119" t="s">
        <v>8</v>
      </c>
      <c r="H49" s="138" t="s">
        <v>268</v>
      </c>
      <c r="I49" s="139" t="s">
        <v>324</v>
      </c>
      <c r="J49" s="301">
        <f>=IF(LEN(I49)&gt;0,LEN(I49),"")</f>
        <v>82</v>
      </c>
      <c r="K49" s="62" t="s">
        <v>73</v>
      </c>
      <c r="L49" s="74" t="s">
        <v>74</v>
      </c>
      <c r="M49" s="89" t="s"/>
      <c r="N49" s="76" t="s"/>
      <c r="O49" s="89" t="s"/>
    </row>
    <row r="50" spans="1:15">
      <c r="A50" s="59" t="s">
        <v>325</v>
      </c>
      <c r="B50" s="90">
        <v>1</v>
      </c>
      <c r="C50" s="604" t="s">
        <v>326</v>
      </c>
      <c r="D50" s="62" t="s">
        <v>327</v>
      </c>
      <c r="E50" s="63" t="str">
        <f>=HYPERLINK(_xlfn.CONCAT("pzplus.tck.mn/db?type=",A50,"&amp;variant=no"),IF(D50&lt;&gt;0,D50,A50))</f>
        <v>海苔墙</v>
      </c>
      <c r="F50" s="118">
        <v>2</v>
      </c>
      <c r="G50" s="119" t="s">
        <v>8</v>
      </c>
      <c r="H50" s="66" t="s">
        <v>245</v>
      </c>
      <c r="I50" s="74" t="s">
        <v>328</v>
      </c>
      <c r="J50" s="301">
        <f>=IF(LEN(I50)&gt;0,LEN(I50),"")</f>
        <v>82</v>
      </c>
      <c r="K50" s="62" t="s">
        <v>329</v>
      </c>
      <c r="L50" s="62" t="s">
        <v>1489</v>
      </c>
      <c r="M50" s="373" t="s">
        <v>143</v>
      </c>
      <c r="N50" s="69">
        <v>1997</v>
      </c>
      <c r="O50" s="68" t="s">
        <v>93</v>
      </c>
    </row>
    <row r="51" spans="1:15">
      <c r="A51" s="59" t="s">
        <v>330</v>
      </c>
      <c r="B51" s="90">
        <v>1</v>
      </c>
      <c r="C51" s="604" t="s">
        <v>331</v>
      </c>
      <c r="D51" s="62" t="s">
        <v>332</v>
      </c>
      <c r="E51" s="63" t="str">
        <f>=HYPERLINK(_xlfn.CONCAT("pzplus.tck.mn/db?type=",A51,"&amp;variant=no"),IF(D51&lt;&gt;0,D51,A51))</f>
        <v>钻石链</v>
      </c>
      <c r="F51" s="118">
        <v>2</v>
      </c>
      <c r="G51" s="119" t="s">
        <v>8</v>
      </c>
      <c r="H51" s="66" t="s">
        <v>333</v>
      </c>
      <c r="I51" s="74" t="s">
        <v>334</v>
      </c>
      <c r="J51" s="195">
        <f>=IF(LEN(I51)&gt;0,LEN(I51),"")</f>
        <v>84</v>
      </c>
      <c r="K51" s="62" t="s">
        <v>115</v>
      </c>
      <c r="L51" s="74" t="s">
        <v>74</v>
      </c>
      <c r="M51" s="89" t="s"/>
      <c r="N51" s="76" t="s"/>
      <c r="O51" s="89" t="s"/>
    </row>
    <row r="52" spans="1:15">
      <c r="A52" s="62" t="s">
        <v>335</v>
      </c>
      <c r="B52" s="90">
        <v>1</v>
      </c>
      <c r="C52" s="604" t="s">
        <v>336</v>
      </c>
      <c r="D52" s="127" t="s">
        <v>337</v>
      </c>
      <c r="E52" s="63" t="str">
        <f>=HYPERLINK(_xlfn.CONCAT("pzplus.tck.mn/db?type=",A52,"&amp;variant=no"),IF(D52&lt;&gt;0,D52,A52))</f>
        <v>三格长桌</v>
      </c>
      <c r="F52" s="118">
        <v>2</v>
      </c>
      <c r="G52" s="119" t="s">
        <v>8</v>
      </c>
      <c r="H52" s="66" t="s">
        <v>338</v>
      </c>
      <c r="I52" s="74" t="s">
        <v>339</v>
      </c>
      <c r="J52" s="170">
        <f>=IF(LEN(I52)&gt;0,LEN(I52),"")</f>
        <v>86</v>
      </c>
      <c r="K52" s="127" t="s">
        <v>109</v>
      </c>
      <c r="L52" s="74" t="s">
        <v>1490</v>
      </c>
      <c r="M52" s="89" t="s"/>
      <c r="N52" s="76" t="s"/>
      <c r="O52" s="89" t="s"/>
    </row>
    <row r="53" spans="1:15">
      <c r="A53" s="59" t="s">
        <v>340</v>
      </c>
      <c r="B53" s="60">
        <v>1</v>
      </c>
      <c r="C53" s="604" t="s">
        <v>341</v>
      </c>
      <c r="D53" s="127" t="s">
        <v>342</v>
      </c>
      <c r="E53" s="63" t="str">
        <f>=HYPERLINK(_xlfn.CONCAT("pzplus.tck.mn/db?type=",A53,"&amp;variant=no"),IF(D53&lt;&gt;0,D53,A53))</f>
        <v>数壁</v>
      </c>
      <c r="F53" s="118">
        <v>2</v>
      </c>
      <c r="G53" s="119" t="s">
        <v>8</v>
      </c>
      <c r="H53" s="66" t="s">
        <v>268</v>
      </c>
      <c r="I53" s="74" t="s">
        <v>343</v>
      </c>
      <c r="J53" s="99">
        <f>=IF(LEN(I53)&gt;0,LEN(I53),"")</f>
        <v>87</v>
      </c>
      <c r="K53" s="127" t="s">
        <v>73</v>
      </c>
      <c r="L53" s="62" t="s">
        <v>1491</v>
      </c>
      <c r="M53" s="131" t="s">
        <v>344</v>
      </c>
      <c r="N53" s="103">
        <v>1997</v>
      </c>
      <c r="O53" s="131" t="s">
        <v>76</v>
      </c>
    </row>
    <row r="54" spans="1:15">
      <c r="A54" s="59" t="s">
        <v>345</v>
      </c>
      <c r="B54" s="70">
        <v>0.8</v>
      </c>
      <c r="C54" s="604" t="s">
        <v>346</v>
      </c>
      <c r="D54" s="127" t="s">
        <v>347</v>
      </c>
      <c r="E54" s="63" t="str">
        <f>=HYPERLINK(_xlfn.CONCAT("pzplus.tck.mn/db?type=",A54,"&amp;variant=no"),IF(D54&lt;&gt;0,D54,A54))</f>
        <v>渡池石块</v>
      </c>
      <c r="F54" s="118">
        <v>2</v>
      </c>
      <c r="G54" s="119" t="s">
        <v>8</v>
      </c>
      <c r="H54" s="66" t="s">
        <v>348</v>
      </c>
      <c r="I54" s="74" t="s">
        <v>349</v>
      </c>
      <c r="J54" s="102">
        <f>=IF(LEN(I54)&gt;0,LEN(I54),"")</f>
        <v>89</v>
      </c>
      <c r="K54" s="127" t="s">
        <v>109</v>
      </c>
      <c r="L54" s="61" t="s">
        <v>350</v>
      </c>
      <c r="M54" s="89" t="s">
        <v>351</v>
      </c>
      <c r="N54" s="69">
        <v>2023</v>
      </c>
      <c r="O54" s="89" t="s">
        <v>94</v>
      </c>
    </row>
    <row r="55" spans="1:15">
      <c r="A55" s="59" t="s">
        <v>352</v>
      </c>
      <c r="B55" s="90">
        <v>1</v>
      </c>
      <c r="C55" s="604" t="s">
        <v>353</v>
      </c>
      <c r="D55" s="127" t="s">
        <v>354</v>
      </c>
      <c r="E55" s="63" t="str">
        <f>=HYPERLINK(_xlfn.CONCAT("pzplus.tck.mn/db?type=",A55,"&amp;variant=no"),IF(D55&lt;&gt;0,D55,A55))</f>
        <v>黑白分明</v>
      </c>
      <c r="F55" s="118">
        <v>2</v>
      </c>
      <c r="G55" s="119" t="s">
        <v>8</v>
      </c>
      <c r="H55" s="66" t="s">
        <v>268</v>
      </c>
      <c r="I55" s="74" t="s">
        <v>355</v>
      </c>
      <c r="J55" s="143">
        <f>=IF(LEN(I55)&gt;0,LEN(I55),"")</f>
        <v>90</v>
      </c>
      <c r="K55" s="127" t="s">
        <v>180</v>
      </c>
      <c r="L55" s="130" t="s">
        <v>74</v>
      </c>
      <c r="M55" s="144" t="s"/>
      <c r="N55" s="145" t="s"/>
      <c r="O55" s="131" t="s"/>
    </row>
    <row r="56" spans="1:15">
      <c r="A56" s="59" t="s">
        <v>356</v>
      </c>
      <c r="B56" s="90">
        <v>1</v>
      </c>
      <c r="C56" s="604" t="s">
        <v>357</v>
      </c>
      <c r="D56" s="127" t="s">
        <v>358</v>
      </c>
      <c r="E56" s="63" t="str">
        <f>=HYPERLINK(_xlfn.CONCAT("pzplus.tck.mn/db?type=",A56,"&amp;variant=no"),IF(D56&lt;&gt;0,D56,A56))</f>
        <v>藕断丝连</v>
      </c>
      <c r="F56" s="118">
        <v>2</v>
      </c>
      <c r="G56" s="119" t="s">
        <v>8</v>
      </c>
      <c r="H56" s="66" t="s">
        <v>251</v>
      </c>
      <c r="I56" s="74" t="s">
        <v>359</v>
      </c>
      <c r="J56" s="146">
        <f>=IF(LEN(I56)&gt;0,LEN(I56),"")</f>
        <v>93</v>
      </c>
      <c r="K56" s="127" t="s">
        <v>104</v>
      </c>
      <c r="L56" s="74" t="s">
        <v>1492</v>
      </c>
      <c r="M56" s="131" t="s">
        <v>360</v>
      </c>
      <c r="N56" s="69">
        <v>2002</v>
      </c>
      <c r="O56" s="89" t="s">
        <v>76</v>
      </c>
    </row>
    <row r="57" spans="1:15">
      <c r="A57" s="59" t="s">
        <v>361</v>
      </c>
      <c r="B57" s="70">
        <v>0.8</v>
      </c>
      <c r="C57" s="604" t="s">
        <v>362</v>
      </c>
      <c r="D57" s="72" t="s"/>
      <c r="E57" s="63" t="str">
        <f>=HYPERLINK(_xlfn.CONCAT("pzplus.tck.mn/db?type=",A57,"&amp;variant=no"),IF(D57&lt;&gt;0,D57,A57))</f>
        <v>cornerch</v>
      </c>
      <c r="F57" s="118">
        <v>2</v>
      </c>
      <c r="G57" s="119" t="s">
        <v>8</v>
      </c>
      <c r="H57" s="66" t="s">
        <v>363</v>
      </c>
      <c r="I57" s="74" t="s">
        <v>364</v>
      </c>
      <c r="J57" s="106">
        <f>=IF(LEN(I57)&gt;0,LEN(I57),"")</f>
        <v>94</v>
      </c>
      <c r="K57" s="62" t="s">
        <v>365</v>
      </c>
      <c r="L57" s="98" t="s">
        <v>74</v>
      </c>
      <c r="M57" s="389" t="s">
        <v>366</v>
      </c>
      <c r="N57" s="69">
        <v>2025</v>
      </c>
      <c r="O57" s="68" t="s">
        <v>82</v>
      </c>
    </row>
    <row r="58" spans="1:15">
      <c r="A58" s="59" t="s">
        <v>367</v>
      </c>
      <c r="B58" s="90">
        <v>1</v>
      </c>
      <c r="C58" s="604" t="s">
        <v>368</v>
      </c>
      <c r="D58" s="62" t="s">
        <v>369</v>
      </c>
      <c r="E58" s="63" t="str">
        <f>=HYPERLINK(_xlfn.CONCAT("pzplus.tck.mn/db?type=",A58,"&amp;variant=no"),IF(D58&lt;&gt;0,D58,A58))</f>
        <v>正方放置</v>
      </c>
      <c r="F58" s="118">
        <v>2</v>
      </c>
      <c r="G58" s="119" t="s">
        <v>8</v>
      </c>
      <c r="H58" s="66" t="s">
        <v>312</v>
      </c>
      <c r="I58" s="74" t="s">
        <v>370</v>
      </c>
      <c r="J58" s="310">
        <f>=IF(LEN(I58)&gt;0,LEN(I58),"")</f>
        <v>97</v>
      </c>
      <c r="K58" s="62" t="s">
        <v>109</v>
      </c>
      <c r="L58" s="74" t="s">
        <v>1493</v>
      </c>
      <c r="M58" s="447" t="s">
        <v>296</v>
      </c>
      <c r="N58" s="69">
        <v>2008</v>
      </c>
      <c r="O58" s="68" t="s">
        <v>76</v>
      </c>
    </row>
    <row r="59" spans="1:15">
      <c r="A59" s="59" t="s">
        <v>371</v>
      </c>
      <c r="B59" s="90">
        <v>1</v>
      </c>
      <c r="C59" s="604" t="s">
        <v>372</v>
      </c>
      <c r="D59" s="62" t="s">
        <v>373</v>
      </c>
      <c r="E59" s="63" t="str">
        <f>=HYPERLINK(_xlfn.CONCAT("pzplus.tck.mn/db?type=",A59,"&amp;variant=no"),IF(D59&lt;&gt;0,D59,A59))</f>
        <v>蚂蚁怪圈</v>
      </c>
      <c r="F59" s="118">
        <v>2</v>
      </c>
      <c r="G59" s="119" t="s">
        <v>8</v>
      </c>
      <c r="H59" s="66" t="s">
        <v>374</v>
      </c>
      <c r="I59" s="74" t="s">
        <v>375</v>
      </c>
      <c r="J59" s="109">
        <f>=IF(LEN(I59)&gt;0,LEN(I59),"")</f>
        <v>109</v>
      </c>
      <c r="K59" s="62" t="s">
        <v>109</v>
      </c>
      <c r="L59" s="74" t="s">
        <v>74</v>
      </c>
      <c r="M59" s="389" t="s">
        <v>99</v>
      </c>
      <c r="N59" s="69">
        <v>2022</v>
      </c>
      <c r="O59" s="148" t="s">
        <v>94</v>
      </c>
    </row>
    <row r="60" spans="1:15">
      <c r="A60" s="59" t="s">
        <v>376</v>
      </c>
      <c r="B60" s="90">
        <v>1</v>
      </c>
      <c r="C60" s="604" t="s">
        <v>377</v>
      </c>
      <c r="D60" s="62" t="s">
        <v>378</v>
      </c>
      <c r="E60" s="63" t="str">
        <f>=HYPERLINK(_xlfn.CONCAT("pzplus.tck.mn/db?type=",A60,"&amp;variant=no"),IF(D60&lt;&gt;0,D60,A60))</f>
        <v>藕断丝弯</v>
      </c>
      <c r="F60" s="118">
        <v>2</v>
      </c>
      <c r="G60" s="119" t="s">
        <v>8</v>
      </c>
      <c r="H60" s="66" t="s">
        <v>379</v>
      </c>
      <c r="I60" s="74" t="s">
        <v>380</v>
      </c>
      <c r="J60" s="149">
        <f>=IF(LEN(I60)&gt;0,LEN(I60),"")</f>
        <v>111</v>
      </c>
      <c r="K60" s="62" t="s">
        <v>381</v>
      </c>
      <c r="L60" s="74" t="s">
        <v>1494</v>
      </c>
      <c r="M60" s="89" t="s"/>
      <c r="N60" s="69" t="s"/>
      <c r="O60" s="89" t="s"/>
    </row>
    <row r="61" spans="1:15">
      <c r="A61" s="59" t="s">
        <v>382</v>
      </c>
      <c r="B61" s="141">
        <v>0</v>
      </c>
      <c r="C61" s="604" t="s">
        <v>383</v>
      </c>
      <c r="D61" s="62" t="s">
        <v>384</v>
      </c>
      <c r="E61" s="63" t="str">
        <f>=HYPERLINK(_xlfn.CONCAT("pzplus.tck.mn/db?type=",A61,"&amp;variant=no"),IF(D61&lt;&gt;0,D61,A61))</f>
        <v>横竖无三</v>
      </c>
      <c r="F61" s="118">
        <v>2</v>
      </c>
      <c r="G61" s="119" t="s">
        <v>8</v>
      </c>
      <c r="H61" s="66" t="s">
        <v>268</v>
      </c>
      <c r="I61" s="74" t="s">
        <v>385</v>
      </c>
      <c r="J61" s="178">
        <f>=IF(LEN(I61)&gt;0,LEN(I61),"")</f>
        <v>114</v>
      </c>
      <c r="K61" s="62" t="s">
        <v>73</v>
      </c>
      <c r="L61" s="74" t="s">
        <v>1495</v>
      </c>
      <c r="M61" s="89" t="s"/>
      <c r="N61" s="76" t="s"/>
      <c r="O61" s="89" t="s"/>
    </row>
    <row r="62" spans="1:15">
      <c r="A62" s="59" t="s">
        <v>386</v>
      </c>
      <c r="B62" s="90">
        <v>1</v>
      </c>
      <c r="C62" s="604" t="s">
        <v>387</v>
      </c>
      <c r="D62" s="127" t="s">
        <v>388</v>
      </c>
      <c r="E62" s="63" t="str">
        <f>=HYPERLINK(_xlfn.CONCAT("pzplus.tck.mn/db?type=",A62,"&amp;variant=no"),IF(D62&lt;&gt;0,D62,A62))</f>
        <v>方形回路</v>
      </c>
      <c r="F62" s="118">
        <v>2</v>
      </c>
      <c r="G62" s="119" t="s">
        <v>8</v>
      </c>
      <c r="H62" s="66" t="s">
        <v>251</v>
      </c>
      <c r="I62" s="74" t="s">
        <v>389</v>
      </c>
      <c r="J62" s="311">
        <f>=IF(LEN(I62)&gt;0,LEN(I62),"")</f>
        <v>116</v>
      </c>
      <c r="K62" s="127" t="s">
        <v>390</v>
      </c>
      <c r="L62" s="74" t="s">
        <v>1496</v>
      </c>
      <c r="M62" s="599" t="s">
        <v>93</v>
      </c>
      <c r="N62" s="76" t="s"/>
      <c r="O62" s="137" t="s"/>
    </row>
    <row r="63" spans="1:15">
      <c r="A63" s="62" t="s">
        <v>391</v>
      </c>
      <c r="B63" s="70">
        <v>0.8</v>
      </c>
      <c r="C63" s="604" t="s">
        <v>392</v>
      </c>
      <c r="D63" s="127" t="s">
        <v>393</v>
      </c>
      <c r="E63" s="63" t="str">
        <f>=HYPERLINK(_xlfn.CONCAT("pzplus.tck.mn/db?type=",A63,"&amp;variant=no"),IF(D63&lt;&gt;0,D63,A63))</f>
        <v>四格骨牌链(暗)</v>
      </c>
      <c r="F63" s="118">
        <v>2</v>
      </c>
      <c r="G63" s="119" t="s">
        <v>8</v>
      </c>
      <c r="H63" s="66" t="s">
        <v>318</v>
      </c>
      <c r="I63" s="74" t="s">
        <v>394</v>
      </c>
      <c r="J63" s="110">
        <f>=IF(LEN(I63)&gt;0,LEN(I63),"")</f>
        <v>120</v>
      </c>
      <c r="K63" s="127" t="s">
        <v>395</v>
      </c>
      <c r="L63" s="74" t="s">
        <v>1497</v>
      </c>
      <c r="M63" s="126" t="s">
        <v>396</v>
      </c>
      <c r="N63" s="103">
        <v>2025</v>
      </c>
      <c r="O63" s="89" t="s">
        <v>82</v>
      </c>
    </row>
    <row r="64" spans="1:15">
      <c r="A64" s="59" t="s">
        <v>397</v>
      </c>
      <c r="B64" s="90">
        <v>1</v>
      </c>
      <c r="C64" s="604" t="s">
        <v>398</v>
      </c>
      <c r="D64" s="127" t="s">
        <v>399</v>
      </c>
      <c r="E64" s="63" t="str">
        <f>=HYPERLINK(_xlfn.CONCAT("pzplus.tck.mn/db?type=",A64,"&amp;variant=no"),IF(D64&lt;&gt;0,D64,A64))</f>
        <v>观云</v>
      </c>
      <c r="F64" s="118">
        <v>2</v>
      </c>
      <c r="G64" s="119" t="s">
        <v>8</v>
      </c>
      <c r="H64" s="66" t="s">
        <v>312</v>
      </c>
      <c r="I64" s="74" t="s">
        <v>400</v>
      </c>
      <c r="J64" s="153">
        <f>=IF(LEN(I64)&gt;0,LEN(I64),"")</f>
        <v>121</v>
      </c>
      <c r="K64" s="127" t="s">
        <v>73</v>
      </c>
      <c r="L64" s="74" t="s">
        <v>1498</v>
      </c>
      <c r="M64" s="131" t="s">
        <v>401</v>
      </c>
      <c r="N64" s="69">
        <v>2011</v>
      </c>
      <c r="O64" s="126" t="s">
        <v>93</v>
      </c>
    </row>
    <row r="65" spans="1:15">
      <c r="A65" s="59" t="s">
        <v>402</v>
      </c>
      <c r="B65" s="141">
        <v>0</v>
      </c>
      <c r="C65" s="604" t="s">
        <v>403</v>
      </c>
      <c r="D65" s="136" t="s">
        <v>404</v>
      </c>
      <c r="E65" s="63" t="str">
        <f>=HYPERLINK(_xlfn.CONCAT("pzplus.tck.mn/db?type=",A65,"&amp;variant=no"),IF(D65&lt;&gt;0,D65,A65))</f>
        <v>云团</v>
      </c>
      <c r="F65" s="118">
        <v>2</v>
      </c>
      <c r="G65" s="119" t="s">
        <v>8</v>
      </c>
      <c r="H65" s="66" t="s">
        <v>251</v>
      </c>
      <c r="I65" s="74" t="s">
        <v>405</v>
      </c>
      <c r="J65" s="154">
        <f>=IF(LEN(I65)&gt;0,LEN(I65),"")</f>
        <v>132</v>
      </c>
      <c r="K65" s="127" t="s">
        <v>73</v>
      </c>
      <c r="L65" s="62" t="s">
        <v>74</v>
      </c>
      <c r="M65" s="89" t="s">
        <v>406</v>
      </c>
      <c r="N65" s="69">
        <v>1996</v>
      </c>
      <c r="O65" s="89" t="s">
        <v>94</v>
      </c>
    </row>
    <row r="66" spans="1:15">
      <c r="A66" s="59" t="s">
        <v>407</v>
      </c>
      <c r="B66" s="90">
        <v>1</v>
      </c>
      <c r="C66" s="604" t="s">
        <v>408</v>
      </c>
      <c r="D66" s="136" t="s">
        <v>409</v>
      </c>
      <c r="E66" s="63" t="str">
        <f>=HYPERLINK(_xlfn.CONCAT("pzplus.tck.mn/db?type=",A66,"&amp;variant=no"),IF(D66&lt;&gt;0,D66,A66))</f>
        <v>水族馆</v>
      </c>
      <c r="F66" s="118">
        <v>2</v>
      </c>
      <c r="G66" s="119" t="s">
        <v>8</v>
      </c>
      <c r="H66" s="66" t="s">
        <v>410</v>
      </c>
      <c r="I66" s="74" t="s">
        <v>411</v>
      </c>
      <c r="J66" s="155">
        <f>=IF(LEN(I66)&gt;0,LEN(I66),"")</f>
        <v>134</v>
      </c>
      <c r="K66" s="127" t="s">
        <v>73</v>
      </c>
      <c r="L66" s="130" t="s">
        <v>74</v>
      </c>
      <c r="M66" s="89" t="s">
        <v>81</v>
      </c>
      <c r="N66" s="69">
        <v>2004</v>
      </c>
      <c r="O66" s="89" t="s">
        <v>94</v>
      </c>
    </row>
    <row r="67" spans="1:15">
      <c r="A67" s="156" t="s">
        <v>1442</v>
      </c>
      <c r="B67" s="90">
        <v>1</v>
      </c>
      <c r="C67" s="604" t="s">
        <v>1443</v>
      </c>
      <c r="D67" s="136" t="s">
        <v>1444</v>
      </c>
      <c r="E67" s="63" t="str">
        <f>=HYPERLINK(_xlfn.CONCAT("pzplus.tck.mn/db?type=",A67,"&amp;variant=no"),IF(D67&lt;&gt;0,D67,A67))</f>
        <v>修学旅行</v>
      </c>
      <c r="F67" s="118">
        <v>2</v>
      </c>
      <c r="G67" s="119" t="s">
        <v>8</v>
      </c>
      <c r="H67" s="66" t="s"/>
      <c r="I67" s="74" t="s">
        <v>1445</v>
      </c>
      <c r="J67" s="312">
        <f>=IF(LEN(I67)&gt;0,LEN(I67),"")</f>
        <v>150</v>
      </c>
      <c r="K67" s="127" t="s">
        <v>365</v>
      </c>
      <c r="L67" s="74" t="s">
        <v>1672</v>
      </c>
      <c r="M67" s="126" t="s">
        <v>573</v>
      </c>
      <c r="N67" s="103">
        <v>2007</v>
      </c>
      <c r="O67" s="126" t="s">
        <v>76</v>
      </c>
    </row>
    <row r="68" spans="1:15">
      <c r="A68" s="59" t="s">
        <v>412</v>
      </c>
      <c r="B68" s="70">
        <v>0.8</v>
      </c>
      <c r="C68" s="604" t="s">
        <v>413</v>
      </c>
      <c r="D68" s="98" t="s">
        <v>414</v>
      </c>
      <c r="E68" s="63" t="str">
        <f>=HYPERLINK(_xlfn.CONCAT("pzplus.tck.mn/db?type=",A68,"&amp;variant=no"),IF(D68&lt;&gt;0,D68,A68))</f>
        <v>三叉路口</v>
      </c>
      <c r="F68" s="118">
        <v>2</v>
      </c>
      <c r="G68" s="119" t="s">
        <v>8</v>
      </c>
      <c r="H68" s="66" t="s">
        <v>273</v>
      </c>
      <c r="I68" s="74" t="s">
        <v>415</v>
      </c>
      <c r="J68" s="313">
        <f>=IF(LEN(I68)&gt;0,LEN(I68),"")</f>
        <v>159</v>
      </c>
      <c r="K68" s="62" t="s">
        <v>416</v>
      </c>
      <c r="L68" s="74" t="s">
        <v>1499</v>
      </c>
      <c r="M68" s="387" t="s">
        <v>93</v>
      </c>
      <c r="N68" s="85">
        <v>2024</v>
      </c>
      <c r="O68" s="86" t="s">
        <v>94</v>
      </c>
    </row>
    <row r="69" spans="1:15">
      <c r="A69" s="59" t="s">
        <v>417</v>
      </c>
      <c r="B69" s="90">
        <v>1</v>
      </c>
      <c r="C69" s="604" t="s">
        <v>418</v>
      </c>
      <c r="D69" s="62" t="s">
        <v>419</v>
      </c>
      <c r="E69" s="63" t="str">
        <f>=HYPERLINK(_xlfn.CONCAT("pzplus.tck.mn/db?type=",A69,"&amp;variant=no"),IF(D69&lt;&gt;0,D69,A69))</f>
        <v>凝块</v>
      </c>
      <c r="F69" s="158">
        <v>3</v>
      </c>
      <c r="G69" s="159" t="s">
        <v>420</v>
      </c>
      <c r="H69" s="66" t="s">
        <v>421</v>
      </c>
      <c r="I69" s="74" t="s">
        <v>422</v>
      </c>
      <c r="J69" s="120">
        <f>=IF(LEN(I69)&gt;0,LEN(I69),"")</f>
        <v>30</v>
      </c>
      <c r="K69" s="62" t="s">
        <v>73</v>
      </c>
      <c r="L69" s="74" t="s">
        <v>1500</v>
      </c>
      <c r="M69" s="447" t="s">
        <v>423</v>
      </c>
      <c r="N69" s="69">
        <v>2012</v>
      </c>
      <c r="O69" s="148" t="s">
        <v>76</v>
      </c>
    </row>
    <row r="70" spans="1:15">
      <c r="A70" s="59" t="s">
        <v>424</v>
      </c>
      <c r="B70" s="90">
        <v>1</v>
      </c>
      <c r="C70" s="604" t="s">
        <v>425</v>
      </c>
      <c r="D70" s="62" t="s">
        <v>426</v>
      </c>
      <c r="E70" s="63" t="str">
        <f>=HYPERLINK(_xlfn.CONCAT("pzplus.tck.mn/db?type=",A70,"&amp;variant=no"),IF(D70&lt;&gt;0,D70,A70))</f>
        <v>扫雷</v>
      </c>
      <c r="F70" s="158">
        <v>3</v>
      </c>
      <c r="G70" s="159" t="s">
        <v>427</v>
      </c>
      <c r="H70" s="66" t="s">
        <v>427</v>
      </c>
      <c r="I70" s="74" t="s">
        <v>428</v>
      </c>
      <c r="J70" s="160">
        <f>=IF(LEN(I70)&gt;0,LEN(I70),"")</f>
        <v>32</v>
      </c>
      <c r="K70" s="62" t="s">
        <v>73</v>
      </c>
      <c r="L70" s="98" t="s">
        <v>74</v>
      </c>
      <c r="M70" s="161" t="s"/>
      <c r="N70" s="76" t="s"/>
      <c r="O70" s="137" t="s"/>
    </row>
    <row r="71" spans="1:15">
      <c r="A71" s="59" t="s">
        <v>429</v>
      </c>
      <c r="B71" s="90">
        <v>1</v>
      </c>
      <c r="C71" s="604" t="s">
        <v>430</v>
      </c>
      <c r="D71" s="136" t="s">
        <v>431</v>
      </c>
      <c r="E71" s="63" t="str">
        <f>=HYPERLINK(_xlfn.CONCAT("pzplus.tck.mn/db?type=",A71,"&amp;variant=no"),IF(D71&lt;&gt;0,D71,A71))</f>
        <v>数织</v>
      </c>
      <c r="F71" s="158">
        <v>3</v>
      </c>
      <c r="G71" s="159" t="s">
        <v>420</v>
      </c>
      <c r="H71" s="66" t="s">
        <v>432</v>
      </c>
      <c r="I71" s="74" t="s">
        <v>433</v>
      </c>
      <c r="J71" s="162">
        <f>=IF(LEN(I71)&gt;0,LEN(I71),"")</f>
        <v>37</v>
      </c>
      <c r="K71" s="62" t="s">
        <v>104</v>
      </c>
      <c r="L71" s="74" t="s">
        <v>1501</v>
      </c>
      <c r="M71" s="89" t="s">
        <v>434</v>
      </c>
      <c r="N71" s="69">
        <v>1987</v>
      </c>
      <c r="O71" s="137" t="s">
        <v>94</v>
      </c>
    </row>
    <row r="72" spans="1:15">
      <c r="A72" s="59" t="s">
        <v>435</v>
      </c>
      <c r="B72" s="90">
        <v>1</v>
      </c>
      <c r="C72" s="604" t="s">
        <v>436</v>
      </c>
      <c r="D72" s="72" t="s"/>
      <c r="E72" s="63" t="str">
        <f>=HYPERLINK(_xlfn.CONCAT("pzplus.tck.mn/db?type=",A72,"&amp;variant=no"),IF(D72&lt;&gt;0,D72,A72))</f>
        <v>pentatouch</v>
      </c>
      <c r="F72" s="158">
        <v>3</v>
      </c>
      <c r="G72" s="159" t="s">
        <v>427</v>
      </c>
      <c r="H72" s="66" t="s">
        <v>427</v>
      </c>
      <c r="I72" s="74" t="s">
        <v>437</v>
      </c>
      <c r="J72" s="314">
        <f>=IF(LEN(I72)&gt;0,LEN(I72),"")</f>
        <v>44</v>
      </c>
      <c r="K72" s="62" t="s">
        <v>438</v>
      </c>
      <c r="L72" s="74" t="s">
        <v>1502</v>
      </c>
      <c r="M72" s="89" t="s"/>
      <c r="N72" s="208" t="s"/>
      <c r="O72" s="89" t="s"/>
    </row>
    <row r="73" spans="1:15">
      <c r="A73" s="59" t="s">
        <v>439</v>
      </c>
      <c r="B73" s="70">
        <v>0.8</v>
      </c>
      <c r="C73" s="604" t="s">
        <v>440</v>
      </c>
      <c r="D73" s="136" t="s">
        <v>441</v>
      </c>
      <c r="E73" s="63" t="str">
        <f>=HYPERLINK(_xlfn.CONCAT("pzplus.tck.mn/db?type=",A73,"&amp;variant=no"),IF(D73&lt;&gt;0,D73,A73))</f>
        <v>双色蛋糕</v>
      </c>
      <c r="F73" s="158">
        <v>3</v>
      </c>
      <c r="G73" s="159" t="s">
        <v>420</v>
      </c>
      <c r="H73" s="164" t="s"/>
      <c r="I73" s="74" t="s">
        <v>442</v>
      </c>
      <c r="J73" s="315">
        <f>=IF(LEN(I73)&gt;0,LEN(I73),"")</f>
        <v>54</v>
      </c>
      <c r="K73" s="62" t="s">
        <v>443</v>
      </c>
      <c r="L73" s="74" t="s">
        <v>1503</v>
      </c>
      <c r="M73" s="373" t="s">
        <v>444</v>
      </c>
      <c r="N73" s="105" t="s">
        <v>116</v>
      </c>
      <c r="O73" s="68" t="s">
        <v>94</v>
      </c>
    </row>
    <row r="74" spans="1:15">
      <c r="A74" s="59" t="s">
        <v>445</v>
      </c>
      <c r="B74" s="70">
        <v>0.8</v>
      </c>
      <c r="C74" s="604" t="s">
        <v>446</v>
      </c>
      <c r="D74" s="72" t="s"/>
      <c r="E74" s="63" t="str">
        <f>=HYPERLINK(_xlfn.CONCAT("pzplus.tck.mn/db?type=",A74,"&amp;variant=no"),IF(D74&lt;&gt;0,D74,A74))</f>
        <v>kissing</v>
      </c>
      <c r="F74" s="158">
        <v>3</v>
      </c>
      <c r="G74" s="159" t="s">
        <v>427</v>
      </c>
      <c r="H74" s="66" t="s">
        <v>427</v>
      </c>
      <c r="I74" s="74" t="s">
        <v>447</v>
      </c>
      <c r="J74" s="315">
        <f>=IF(LEN(I74)&gt;0,LEN(I74),"")</f>
        <v>54</v>
      </c>
      <c r="K74" s="62" t="s">
        <v>202</v>
      </c>
      <c r="L74" s="74" t="s">
        <v>74</v>
      </c>
      <c r="M74" s="89" t="s"/>
      <c r="N74" s="76" t="s"/>
      <c r="O74" s="89" t="s"/>
    </row>
    <row r="75" spans="1:15">
      <c r="A75" s="59" t="s">
        <v>448</v>
      </c>
      <c r="B75" s="90">
        <v>1</v>
      </c>
      <c r="C75" s="604" t="s">
        <v>449</v>
      </c>
      <c r="D75" s="127" t="s">
        <v>450</v>
      </c>
      <c r="E75" s="63" t="str">
        <f>=HYPERLINK(_xlfn.CONCAT("pzplus.tck.mn/db?type=",A75,"&amp;variant=no"),IF(D75&lt;&gt;0,D75,A75))</f>
        <v>星战</v>
      </c>
      <c r="F75" s="158">
        <v>3</v>
      </c>
      <c r="G75" s="159" t="s">
        <v>427</v>
      </c>
      <c r="H75" s="66" t="s">
        <v>427</v>
      </c>
      <c r="I75" s="74" t="s">
        <v>451</v>
      </c>
      <c r="J75" s="315">
        <f>=IF(LEN(I75)&gt;0,LEN(I75),"")</f>
        <v>54</v>
      </c>
      <c r="K75" s="62" t="s">
        <v>73</v>
      </c>
      <c r="L75" s="74" t="s">
        <v>74</v>
      </c>
      <c r="M75" s="373" t="s">
        <v>452</v>
      </c>
      <c r="N75" s="69">
        <v>2003</v>
      </c>
      <c r="O75" s="68" t="s">
        <v>94</v>
      </c>
    </row>
    <row r="76" spans="1:15">
      <c r="A76" s="59" t="s">
        <v>453</v>
      </c>
      <c r="B76" s="70">
        <v>0.8</v>
      </c>
      <c r="C76" s="604" t="s">
        <v>454</v>
      </c>
      <c r="D76" s="62" t="s">
        <v>455</v>
      </c>
      <c r="E76" s="63" t="str">
        <f>=HYPERLINK(_xlfn.CONCAT("pzplus.tck.mn/db?type=",A76,"&amp;variant=no"),IF(D76&lt;&gt;0,D76,A76))</f>
        <v>复制瓦片</v>
      </c>
      <c r="F76" s="158">
        <v>3</v>
      </c>
      <c r="G76" s="159" t="s">
        <v>420</v>
      </c>
      <c r="H76" s="66" t="s">
        <v>456</v>
      </c>
      <c r="I76" s="74" t="s">
        <v>457</v>
      </c>
      <c r="J76" s="166">
        <f>=IF(LEN(I76)&gt;0,LEN(I76),"")</f>
        <v>55</v>
      </c>
      <c r="K76" s="62" t="s">
        <v>202</v>
      </c>
      <c r="L76" s="74" t="s">
        <v>74</v>
      </c>
      <c r="M76" s="447" t="s">
        <v>458</v>
      </c>
      <c r="N76" s="69">
        <v>2020</v>
      </c>
      <c r="O76" s="148" t="s">
        <v>82</v>
      </c>
    </row>
    <row r="77" spans="1:15">
      <c r="A77" s="62" t="s">
        <v>459</v>
      </c>
      <c r="B77" s="90">
        <v>1</v>
      </c>
      <c r="C77" s="604" t="s">
        <v>460</v>
      </c>
      <c r="D77" s="62" t="s">
        <v>461</v>
      </c>
      <c r="E77" s="63" t="str">
        <f>=HYPERLINK(_xlfn.CONCAT("pzplus.tck.mn/db?type=",A77,"&amp;variant=no"),IF(D77&lt;&gt;0,D77,A77))</f>
        <v>区区</v>
      </c>
      <c r="F77" s="158">
        <v>3</v>
      </c>
      <c r="G77" s="159" t="s">
        <v>420</v>
      </c>
      <c r="H77" s="66" t="s">
        <v>462</v>
      </c>
      <c r="I77" s="74" t="s">
        <v>463</v>
      </c>
      <c r="J77" s="316">
        <f>=IF(LEN(I77)&gt;0,LEN(I77),"")</f>
        <v>65</v>
      </c>
      <c r="K77" s="62" t="s">
        <v>109</v>
      </c>
      <c r="L77" s="168" t="s">
        <v>461</v>
      </c>
      <c r="M77" s="599" t="s">
        <v>93</v>
      </c>
      <c r="N77" s="76" t="s"/>
      <c r="O77" s="137" t="s"/>
    </row>
    <row r="78" spans="1:15">
      <c r="A78" s="59" t="s">
        <v>464</v>
      </c>
      <c r="B78" s="60">
        <v>1</v>
      </c>
      <c r="C78" s="604" t="s">
        <v>465</v>
      </c>
      <c r="D78" s="127" t="s">
        <v>466</v>
      </c>
      <c r="E78" s="63" t="str">
        <f>=HYPERLINK(_xlfn.CONCAT("pzplus.tck.mn/db?type=",A78,"&amp;variant=no"),IF(D78&lt;&gt;0,D78,A78))</f>
        <v>岛国</v>
      </c>
      <c r="F78" s="158">
        <v>3</v>
      </c>
      <c r="G78" s="159" t="s">
        <v>420</v>
      </c>
      <c r="H78" s="66" t="s">
        <v>467</v>
      </c>
      <c r="I78" s="74" t="s">
        <v>468</v>
      </c>
      <c r="J78" s="316">
        <f>=IF(LEN(I78)&gt;0,LEN(I78),"")</f>
        <v>65</v>
      </c>
      <c r="K78" s="127" t="s">
        <v>180</v>
      </c>
      <c r="L78" s="61" t="s">
        <v>469</v>
      </c>
      <c r="M78" s="89" t="s">
        <v>470</v>
      </c>
      <c r="N78" s="69">
        <v>2006</v>
      </c>
      <c r="O78" s="89" t="s">
        <v>76</v>
      </c>
    </row>
    <row r="79" spans="1:15">
      <c r="A79" s="59" t="s">
        <v>471</v>
      </c>
      <c r="B79" s="60">
        <v>1</v>
      </c>
      <c r="C79" s="604" t="s">
        <v>472</v>
      </c>
      <c r="D79" s="127" t="s">
        <v>473</v>
      </c>
      <c r="E79" s="63" t="str">
        <f>=HYPERLINK(_xlfn.CONCAT("pzplus.tck.mn/db?type=",A79,"&amp;variant=no"),IF(D79&lt;&gt;0,D79,A79))</f>
        <v>帐篷</v>
      </c>
      <c r="F79" s="158">
        <v>3</v>
      </c>
      <c r="G79" s="159" t="s">
        <v>427</v>
      </c>
      <c r="H79" s="66" t="s">
        <v>427</v>
      </c>
      <c r="I79" s="74" t="s">
        <v>474</v>
      </c>
      <c r="J79" s="305">
        <f>=IF(LEN(I79)&gt;0,LEN(I79),"")</f>
        <v>66</v>
      </c>
      <c r="K79" s="62" t="s">
        <v>73</v>
      </c>
      <c r="L79" s="74" t="s">
        <v>74</v>
      </c>
      <c r="M79" s="373" t="s">
        <v>475</v>
      </c>
      <c r="N79" s="69">
        <v>1989</v>
      </c>
      <c r="O79" s="68" t="s">
        <v>94</v>
      </c>
    </row>
    <row r="80" spans="1:15">
      <c r="A80" s="62" t="s">
        <v>476</v>
      </c>
      <c r="B80" s="60">
        <v>1</v>
      </c>
      <c r="C80" s="604" t="s">
        <v>477</v>
      </c>
      <c r="D80" s="62" t="s">
        <v>478</v>
      </c>
      <c r="E80" s="63" t="str">
        <f>=HYPERLINK(_xlfn.CONCAT("pzplus.tck.mn/db?type=",A80,"&amp;variant=no"),IF(D80&lt;&gt;0,D80,A80))</f>
        <v>黑块克隆</v>
      </c>
      <c r="F80" s="158">
        <v>3</v>
      </c>
      <c r="G80" s="159" t="s">
        <v>420</v>
      </c>
      <c r="H80" s="66" t="s">
        <v>456</v>
      </c>
      <c r="I80" s="74" t="s">
        <v>479</v>
      </c>
      <c r="J80" s="298">
        <f>=IF(LEN(I80)&gt;0,LEN(I80),"")</f>
        <v>77</v>
      </c>
      <c r="K80" s="62" t="s">
        <v>109</v>
      </c>
      <c r="L80" s="74" t="s">
        <v>1504</v>
      </c>
      <c r="M80" s="373" t="s">
        <v>480</v>
      </c>
      <c r="N80" s="69">
        <v>2015</v>
      </c>
      <c r="O80" s="68" t="s">
        <v>93</v>
      </c>
    </row>
    <row r="81" spans="1:15">
      <c r="A81" s="59" t="s">
        <v>481</v>
      </c>
      <c r="B81" s="90">
        <v>1</v>
      </c>
      <c r="C81" s="604" t="s">
        <v>482</v>
      </c>
      <c r="D81" s="62" t="s">
        <v>483</v>
      </c>
      <c r="E81" s="63" t="str">
        <f>=HYPERLINK(_xlfn.CONCAT("pzplus.tck.mn/db?type=",A81,"&amp;variant=no"),IF(D81&lt;&gt;0,D81,A81))</f>
        <v>磁铁</v>
      </c>
      <c r="F81" s="158">
        <v>3</v>
      </c>
      <c r="G81" s="159" t="s">
        <v>427</v>
      </c>
      <c r="H81" s="66" t="s">
        <v>427</v>
      </c>
      <c r="I81" s="74" t="s">
        <v>484</v>
      </c>
      <c r="J81" s="298">
        <f>=IF(LEN(I81)&gt;0,LEN(I81),"")</f>
        <v>77</v>
      </c>
      <c r="K81" s="62" t="s">
        <v>73</v>
      </c>
      <c r="L81" s="98" t="s">
        <v>74</v>
      </c>
      <c r="M81" s="373" t="s">
        <v>485</v>
      </c>
      <c r="N81" s="69">
        <v>2001</v>
      </c>
      <c r="O81" s="68" t="s">
        <v>94</v>
      </c>
    </row>
    <row r="82" spans="1:15">
      <c r="A82" s="59" t="s">
        <v>486</v>
      </c>
      <c r="B82" s="141">
        <v>0</v>
      </c>
      <c r="C82" s="604" t="s">
        <v>487</v>
      </c>
      <c r="D82" s="62" t="s">
        <v>488</v>
      </c>
      <c r="E82" s="63" t="str">
        <f>=HYPERLINK(_xlfn.CONCAT("pzplus.tck.mn/db?type=",A82,"&amp;variant=no"),IF(D82&lt;&gt;0,D82,A82))</f>
        <v>空隙</v>
      </c>
      <c r="F82" s="158">
        <v>3</v>
      </c>
      <c r="G82" s="159" t="s">
        <v>427</v>
      </c>
      <c r="H82" s="66" t="s">
        <v>427</v>
      </c>
      <c r="I82" s="74" t="s">
        <v>489</v>
      </c>
      <c r="J82" s="317">
        <f>=IF(LEN(I82)&gt;0,LEN(I82),"")</f>
        <v>79</v>
      </c>
      <c r="K82" s="62" t="s">
        <v>73</v>
      </c>
      <c r="L82" s="74" t="s">
        <v>74</v>
      </c>
      <c r="M82" s="373" t="s">
        <v>490</v>
      </c>
      <c r="N82" s="69">
        <v>2010</v>
      </c>
      <c r="O82" s="68" t="s">
        <v>94</v>
      </c>
    </row>
    <row r="83" spans="1:15">
      <c r="A83" s="59" t="s">
        <v>491</v>
      </c>
      <c r="B83" s="60">
        <v>1</v>
      </c>
      <c r="C83" s="604" t="s">
        <v>492</v>
      </c>
      <c r="D83" s="62" t="s">
        <v>493</v>
      </c>
      <c r="E83" s="63" t="str">
        <f>=HYPERLINK(_xlfn.CONCAT("pzplus.tck.mn/db?type=",A83,"&amp;variant=no"),IF(D83&lt;&gt;0,D83,A83))</f>
        <v>鸡尾酒灯</v>
      </c>
      <c r="F83" s="158">
        <v>3</v>
      </c>
      <c r="G83" s="159" t="s">
        <v>420</v>
      </c>
      <c r="H83" s="66" t="s">
        <v>494</v>
      </c>
      <c r="I83" s="74" t="s">
        <v>495</v>
      </c>
      <c r="J83" s="300">
        <f>=IF(LEN(I83)&gt;0,LEN(I83),"")</f>
        <v>80</v>
      </c>
      <c r="K83" s="62" t="s">
        <v>180</v>
      </c>
      <c r="L83" s="74" t="s">
        <v>1505</v>
      </c>
      <c r="M83" s="89" t="s"/>
      <c r="N83" s="76" t="s"/>
      <c r="O83" s="89" t="s"/>
    </row>
    <row r="84" spans="1:15">
      <c r="A84" s="59" t="s">
        <v>496</v>
      </c>
      <c r="B84" s="90">
        <v>1</v>
      </c>
      <c r="C84" s="604" t="s">
        <v>497</v>
      </c>
      <c r="D84" s="127" t="s">
        <v>498</v>
      </c>
      <c r="E84" s="63" t="str">
        <f>=HYPERLINK(_xlfn.CONCAT("pzplus.tck.mn/db?type=",A84,"&amp;variant=no"),IF(D84&lt;&gt;0,D84,A84))</f>
        <v>近视五格</v>
      </c>
      <c r="F84" s="158">
        <v>3</v>
      </c>
      <c r="G84" s="159" t="s">
        <v>427</v>
      </c>
      <c r="H84" s="66" t="s">
        <v>427</v>
      </c>
      <c r="I84" s="74" t="s">
        <v>499</v>
      </c>
      <c r="J84" s="97">
        <f>=IF(LEN(I84)&gt;0,LEN(I84),"")</f>
        <v>85</v>
      </c>
      <c r="K84" s="127" t="s">
        <v>500</v>
      </c>
      <c r="L84" s="98" t="s">
        <v>1506</v>
      </c>
      <c r="M84" s="126" t="s">
        <v>501</v>
      </c>
      <c r="N84" s="69">
        <v>2011</v>
      </c>
      <c r="O84" s="89" t="s">
        <v>94</v>
      </c>
    </row>
    <row r="85" spans="1:15">
      <c r="A85" s="59" t="s">
        <v>502</v>
      </c>
      <c r="B85" s="90">
        <v>1</v>
      </c>
      <c r="C85" s="604" t="s">
        <v>503</v>
      </c>
      <c r="D85" s="127" t="s">
        <v>504</v>
      </c>
      <c r="E85" s="63" t="str">
        <f>=HYPERLINK(_xlfn.CONCAT("pzplus.tck.mn/db?type=",A85,"&amp;variant=no"),IF(D85&lt;&gt;0,D85,A85))</f>
        <v>砖墙</v>
      </c>
      <c r="F85" s="172">
        <v>3</v>
      </c>
      <c r="G85" s="173" t="s">
        <v>420</v>
      </c>
      <c r="H85" s="171" t="s"/>
      <c r="I85" s="74" t="s">
        <v>505</v>
      </c>
      <c r="J85" s="170">
        <f>=IF(LEN(I85)&gt;0,LEN(I85),"")</f>
        <v>86</v>
      </c>
      <c r="K85" s="127" t="s">
        <v>109</v>
      </c>
      <c r="L85" s="74" t="s">
        <v>1507</v>
      </c>
      <c r="M85" s="89" t="s">
        <v>506</v>
      </c>
      <c r="N85" s="69">
        <v>2009</v>
      </c>
      <c r="O85" s="126" t="s">
        <v>93</v>
      </c>
    </row>
    <row r="86" spans="1:15">
      <c r="A86" s="59" t="s">
        <v>507</v>
      </c>
      <c r="B86" s="90">
        <v>1</v>
      </c>
      <c r="C86" s="604" t="s">
        <v>508</v>
      </c>
      <c r="D86" s="127" t="s">
        <v>509</v>
      </c>
      <c r="E86" s="63" t="str">
        <f>=HYPERLINK(_xlfn.CONCAT("pzplus.tck.mn/db?type=",A86,"&amp;variant=no"),IF(D86&lt;&gt;0,D86,A86))</f>
        <v>气球铅球</v>
      </c>
      <c r="F86" s="158">
        <v>3</v>
      </c>
      <c r="G86" s="159" t="s">
        <v>427</v>
      </c>
      <c r="H86" s="66" t="s">
        <v>427</v>
      </c>
      <c r="I86" s="74" t="s">
        <v>510</v>
      </c>
      <c r="J86" s="142">
        <f>=IF(LEN(I86)&gt;0,LEN(I86),"")</f>
        <v>88</v>
      </c>
      <c r="K86" s="62" t="s">
        <v>109</v>
      </c>
      <c r="L86" s="74" t="s">
        <v>1508</v>
      </c>
      <c r="M86" s="89" t="s">
        <v>149</v>
      </c>
      <c r="N86" s="69">
        <v>2015</v>
      </c>
      <c r="O86" s="89" t="s">
        <v>93</v>
      </c>
    </row>
    <row r="87" spans="1:15">
      <c r="A87" s="59" t="s">
        <v>511</v>
      </c>
      <c r="B87" s="90">
        <v>1</v>
      </c>
      <c r="C87" s="604" t="s">
        <v>512</v>
      </c>
      <c r="D87" s="127" t="s">
        <v>513</v>
      </c>
      <c r="E87" s="63" t="str">
        <f>=HYPERLINK(_xlfn.CONCAT("pzplus.tck.mn/db?type=",A87,"&amp;variant=no"),IF(D87&lt;&gt;0,D87,A87))</f>
        <v>垒石</v>
      </c>
      <c r="F87" s="158">
        <v>3</v>
      </c>
      <c r="G87" s="159" t="s">
        <v>420</v>
      </c>
      <c r="H87" s="66" t="s">
        <v>421</v>
      </c>
      <c r="I87" s="74" t="s">
        <v>514</v>
      </c>
      <c r="J87" s="146">
        <f>=IF(LEN(I87)&gt;0,LEN(I87),"")</f>
        <v>93</v>
      </c>
      <c r="K87" s="127" t="s">
        <v>73</v>
      </c>
      <c r="L87" s="74" t="s">
        <v>1509</v>
      </c>
      <c r="M87" s="126" t="s">
        <v>515</v>
      </c>
      <c r="N87" s="103">
        <v>2016</v>
      </c>
      <c r="O87" s="89" t="s">
        <v>93</v>
      </c>
    </row>
    <row r="88" spans="1:15">
      <c r="A88" s="59" t="s">
        <v>516</v>
      </c>
      <c r="B88" s="90">
        <v>1</v>
      </c>
      <c r="C88" s="604" t="s">
        <v>517</v>
      </c>
      <c r="D88" s="127" t="s">
        <v>518</v>
      </c>
      <c r="E88" s="63" t="str">
        <f>=HYPERLINK(_xlfn.CONCAT("pzplus.tck.mn/db?type=",A88,"&amp;variant=no"),IF(D88&lt;&gt;0,D88,A88))</f>
        <v>雕像公园</v>
      </c>
      <c r="F88" s="158">
        <v>3</v>
      </c>
      <c r="G88" s="159" t="s">
        <v>427</v>
      </c>
      <c r="H88" s="66" t="s">
        <v>427</v>
      </c>
      <c r="I88" s="74" t="s">
        <v>519</v>
      </c>
      <c r="J88" s="318">
        <f>=IF(LEN(I88)&gt;0,LEN(I88),"")</f>
        <v>96</v>
      </c>
      <c r="K88" s="127" t="s">
        <v>73</v>
      </c>
      <c r="L88" s="130" t="s">
        <v>74</v>
      </c>
      <c r="M88" s="89" t="s">
        <v>520</v>
      </c>
      <c r="N88" s="69">
        <v>2011</v>
      </c>
      <c r="O88" s="126" t="s">
        <v>94</v>
      </c>
    </row>
    <row r="89" spans="1:15">
      <c r="A89" s="59" t="s">
        <v>521</v>
      </c>
      <c r="B89" s="90">
        <v>1</v>
      </c>
      <c r="C89" s="604" t="s">
        <v>522</v>
      </c>
      <c r="D89" s="127" t="s">
        <v>523</v>
      </c>
      <c r="E89" s="63" t="str">
        <f>=HYPERLINK(_xlfn.CONCAT("pzplus.tck.mn/db?type=",A89,"&amp;variant=no"),IF(D89&lt;&gt;0,D89,A89))</f>
        <v>美术馆</v>
      </c>
      <c r="F89" s="158">
        <v>3</v>
      </c>
      <c r="G89" s="159" t="s">
        <v>427</v>
      </c>
      <c r="H89" s="66" t="s">
        <v>427</v>
      </c>
      <c r="I89" s="74" t="s">
        <v>524</v>
      </c>
      <c r="J89" s="199">
        <f>=IF(LEN(I89)&gt;0,LEN(I89),"")</f>
        <v>102</v>
      </c>
      <c r="K89" s="127" t="s">
        <v>73</v>
      </c>
      <c r="L89" s="61" t="s">
        <v>525</v>
      </c>
      <c r="M89" s="89" t="s">
        <v>526</v>
      </c>
      <c r="N89" s="69">
        <v>2001</v>
      </c>
      <c r="O89" s="89" t="s">
        <v>76</v>
      </c>
    </row>
    <row r="90" spans="1:15">
      <c r="A90" s="59" t="s">
        <v>527</v>
      </c>
      <c r="B90" s="90">
        <v>1</v>
      </c>
      <c r="C90" s="604" t="s">
        <v>528</v>
      </c>
      <c r="D90" s="127" t="s">
        <v>529</v>
      </c>
      <c r="E90" s="63" t="str">
        <f>=HYPERLINK(_xlfn.CONCAT("pzplus.tck.mn/db?type=",A90,"&amp;variant=no"),IF(D90&lt;&gt;0,D90,A90))</f>
        <v>战舰</v>
      </c>
      <c r="F90" s="158">
        <v>3</v>
      </c>
      <c r="G90" s="159" t="s">
        <v>427</v>
      </c>
      <c r="H90" s="66" t="s">
        <v>427</v>
      </c>
      <c r="I90" s="74" t="s">
        <v>530</v>
      </c>
      <c r="J90" s="199">
        <f>=IF(LEN(I90)&gt;0,LEN(I90),"")</f>
        <v>102</v>
      </c>
      <c r="K90" s="127" t="s">
        <v>73</v>
      </c>
      <c r="L90" s="136" t="s">
        <v>74</v>
      </c>
      <c r="M90" s="89" t="s">
        <v>531</v>
      </c>
      <c r="N90" s="69">
        <v>1982</v>
      </c>
      <c r="O90" s="89" t="s">
        <v>94</v>
      </c>
    </row>
    <row r="91" spans="1:15">
      <c r="A91" s="59" t="s">
        <v>532</v>
      </c>
      <c r="B91" s="90">
        <v>1</v>
      </c>
      <c r="C91" s="604" t="s">
        <v>533</v>
      </c>
      <c r="D91" s="127" t="s">
        <v>534</v>
      </c>
      <c r="E91" s="63" t="str">
        <f>=HYPERLINK(_xlfn.CONCAT("pzplus.tck.mn/db?type=",A91,"&amp;variant=no"),IF(D91&lt;&gt;0,D91,A91))</f>
        <v>铅笔</v>
      </c>
      <c r="F91" s="158">
        <v>3</v>
      </c>
      <c r="G91" s="159" t="s">
        <v>427</v>
      </c>
      <c r="H91" s="66" t="s">
        <v>427</v>
      </c>
      <c r="I91" s="74" t="s">
        <v>535</v>
      </c>
      <c r="J91" s="177">
        <f>=IF(LEN(I91)&gt;0,LEN(I91),"")</f>
        <v>110</v>
      </c>
      <c r="K91" s="127" t="s">
        <v>109</v>
      </c>
      <c r="L91" s="98" t="s">
        <v>74</v>
      </c>
      <c r="M91" s="126" t="s">
        <v>110</v>
      </c>
      <c r="N91" s="69">
        <v>2017</v>
      </c>
      <c r="O91" s="126" t="s">
        <v>93</v>
      </c>
    </row>
    <row r="92" spans="1:15">
      <c r="A92" s="59" t="s">
        <v>536</v>
      </c>
      <c r="B92" s="90">
        <v>1</v>
      </c>
      <c r="C92" s="604" t="s">
        <v>537</v>
      </c>
      <c r="D92" s="127" t="s">
        <v>538</v>
      </c>
      <c r="E92" s="63" t="str">
        <f>=HYPERLINK(_xlfn.CONCAT("pzplus.tck.mn/db?type=",A92,"&amp;variant=no"),IF(D92&lt;&gt;0,D92,A92))</f>
        <v>生长方块</v>
      </c>
      <c r="F92" s="158">
        <v>3</v>
      </c>
      <c r="G92" s="159" t="s">
        <v>420</v>
      </c>
      <c r="H92" s="66" t="s">
        <v>539</v>
      </c>
      <c r="I92" s="74" t="s">
        <v>540</v>
      </c>
      <c r="J92" s="200">
        <f>=IF(LEN(I92)&gt;0,LEN(I92),"")</f>
        <v>113</v>
      </c>
      <c r="K92" s="127" t="s">
        <v>109</v>
      </c>
      <c r="L92" s="98" t="s">
        <v>1510</v>
      </c>
      <c r="M92" s="428" t="s">
        <v>93</v>
      </c>
      <c r="N92" s="76" t="s"/>
      <c r="O92" s="126" t="s"/>
    </row>
    <row r="93" spans="1:15">
      <c r="A93" s="62" t="s">
        <v>541</v>
      </c>
      <c r="B93" s="90">
        <v>1</v>
      </c>
      <c r="C93" s="604" t="s">
        <v>542</v>
      </c>
      <c r="D93" s="127" t="s">
        <v>543</v>
      </c>
      <c r="E93" s="63" t="str">
        <f>=HYPERLINK(_xlfn.CONCAT("pzplus.tck.mn/db?type=",A93,"&amp;variant=no"),IF(D93&lt;&gt;0,D93,A93))</f>
        <v>国界线</v>
      </c>
      <c r="F93" s="158">
        <v>3</v>
      </c>
      <c r="G93" s="159" t="s">
        <v>420</v>
      </c>
      <c r="H93" s="66" t="s">
        <v>544</v>
      </c>
      <c r="I93" s="74" t="s">
        <v>545</v>
      </c>
      <c r="J93" s="200">
        <f>=IF(LEN(I93)&gt;0,LEN(I93),"")</f>
        <v>113</v>
      </c>
      <c r="K93" s="127" t="s">
        <v>115</v>
      </c>
      <c r="L93" s="136" t="s">
        <v>74</v>
      </c>
      <c r="M93" s="89" t="s">
        <v>520</v>
      </c>
      <c r="N93" s="69">
        <v>2009</v>
      </c>
      <c r="O93" s="89" t="s">
        <v>94</v>
      </c>
    </row>
    <row r="94" spans="1:15">
      <c r="A94" s="59" t="s">
        <v>546</v>
      </c>
      <c r="B94" s="90">
        <v>1</v>
      </c>
      <c r="C94" s="604" t="s">
        <v>547</v>
      </c>
      <c r="D94" s="127" t="s">
        <v>548</v>
      </c>
      <c r="E94" s="63" t="str">
        <f>=HYPERLINK(_xlfn.CONCAT("pzplus.tck.mn/db?type=",A94,"&amp;variant=no"),IF(D94&lt;&gt;0,D94,A94))</f>
        <v>停车场</v>
      </c>
      <c r="F94" s="158">
        <v>3</v>
      </c>
      <c r="G94" s="159" t="s">
        <v>427</v>
      </c>
      <c r="H94" s="66" t="s">
        <v>427</v>
      </c>
      <c r="I94" s="74" t="s">
        <v>549</v>
      </c>
      <c r="J94" s="178">
        <f>=IF(LEN(I94)&gt;0,LEN(I94),"")</f>
        <v>114</v>
      </c>
      <c r="K94" s="127" t="s">
        <v>390</v>
      </c>
      <c r="L94" s="62" t="s">
        <v>1511</v>
      </c>
      <c r="M94" s="126" t="s">
        <v>550</v>
      </c>
      <c r="N94" s="103">
        <v>2006</v>
      </c>
      <c r="O94" s="126" t="s">
        <v>94</v>
      </c>
    </row>
    <row r="95" spans="1:15">
      <c r="A95" s="59" t="s">
        <v>551</v>
      </c>
      <c r="B95" s="90">
        <v>1</v>
      </c>
      <c r="C95" s="604" t="s">
        <v>552</v>
      </c>
      <c r="D95" s="127" t="s">
        <v>553</v>
      </c>
      <c r="E95" s="63" t="str">
        <f>=HYPERLINK(_xlfn.CONCAT("pzplus.tck.mn/db?type=",A95,"&amp;variant=no"),IF(D95&lt;&gt;0,D95,A95))</f>
        <v>区块链</v>
      </c>
      <c r="F95" s="172">
        <v>3</v>
      </c>
      <c r="G95" s="173" t="s">
        <v>420</v>
      </c>
      <c r="H95" s="66" t="s">
        <v>462</v>
      </c>
      <c r="I95" s="74" t="s">
        <v>554</v>
      </c>
      <c r="J95" s="179">
        <f>=IF(LEN(I95)&gt;0,LEN(I95),"")</f>
        <v>119</v>
      </c>
      <c r="K95" s="127" t="s">
        <v>365</v>
      </c>
      <c r="L95" s="62" t="s">
        <v>74</v>
      </c>
      <c r="M95" s="428" t="s">
        <v>93</v>
      </c>
      <c r="N95" s="180" t="s"/>
      <c r="O95" s="126" t="s"/>
    </row>
    <row r="96" spans="1:15">
      <c r="A96" s="59" t="s">
        <v>555</v>
      </c>
      <c r="B96" s="90">
        <v>1</v>
      </c>
      <c r="C96" s="604" t="s">
        <v>556</v>
      </c>
      <c r="D96" s="127" t="s">
        <v>557</v>
      </c>
      <c r="E96" s="63" t="str">
        <f>=HYPERLINK(_xlfn.CONCAT("pzplus.tck.mn/db?type=",A96,"&amp;variant=no"),IF(D96&lt;&gt;0,D96,A96))</f>
        <v>马提尼</v>
      </c>
      <c r="F96" s="172">
        <v>3</v>
      </c>
      <c r="G96" s="173" t="s">
        <v>420</v>
      </c>
      <c r="H96" s="66" t="s">
        <v>494</v>
      </c>
      <c r="I96" s="74" t="s">
        <v>558</v>
      </c>
      <c r="J96" s="179">
        <f>=IF(LEN(I96)&gt;0,LEN(I96),"")</f>
        <v>119</v>
      </c>
      <c r="K96" s="127" t="s">
        <v>73</v>
      </c>
      <c r="L96" s="130" t="s">
        <v>559</v>
      </c>
      <c r="M96" s="89" t="s"/>
      <c r="N96" s="76" t="s"/>
      <c r="O96" s="89" t="s"/>
    </row>
    <row r="97" spans="1:15">
      <c r="A97" s="59" t="s">
        <v>560</v>
      </c>
      <c r="B97" s="90">
        <v>1</v>
      </c>
      <c r="C97" s="604" t="s">
        <v>561</v>
      </c>
      <c r="D97" s="127" t="s">
        <v>562</v>
      </c>
      <c r="E97" s="63" t="str">
        <f>=HYPERLINK(_xlfn.CONCAT("pzplus.tck.mn/db?type=",A97,"&amp;variant=no"),IF(D97&lt;&gt;0,D97,A97))</f>
        <v>金刚镜</v>
      </c>
      <c r="F97" s="158">
        <v>3</v>
      </c>
      <c r="G97" s="159" t="s">
        <v>427</v>
      </c>
      <c r="H97" s="66" t="s">
        <v>427</v>
      </c>
      <c r="I97" s="74" t="s">
        <v>563</v>
      </c>
      <c r="J97" s="110">
        <f>=IF(LEN(I97)&gt;0,LEN(I97),"")</f>
        <v>120</v>
      </c>
      <c r="K97" s="127" t="s">
        <v>115</v>
      </c>
      <c r="L97" s="130" t="s">
        <v>564</v>
      </c>
      <c r="M97" s="89" t="s"/>
      <c r="N97" s="76" t="s"/>
      <c r="O97" s="89" t="s"/>
    </row>
    <row r="98" spans="1:15">
      <c r="A98" s="59" t="s">
        <v>565</v>
      </c>
      <c r="B98" s="141">
        <v>0</v>
      </c>
      <c r="C98" s="604" t="s">
        <v>566</v>
      </c>
      <c r="D98" s="127" t="s">
        <v>567</v>
      </c>
      <c r="E98" s="63" t="str">
        <f>=HYPERLINK(_xlfn.CONCAT("pzplus.tck.mn/db?type=",A98,"&amp;variant=no"),IF(D98&lt;&gt;0,D98,A98))</f>
        <v>星光</v>
      </c>
      <c r="F98" s="172">
        <v>3</v>
      </c>
      <c r="G98" s="173" t="s">
        <v>427</v>
      </c>
      <c r="H98" s="66" t="s">
        <v>427</v>
      </c>
      <c r="I98" s="74" t="s">
        <v>568</v>
      </c>
      <c r="J98" s="230">
        <f>=IF(LEN(I98)&gt;0,LEN(I98),"")</f>
        <v>131</v>
      </c>
      <c r="K98" s="127" t="s">
        <v>148</v>
      </c>
      <c r="L98" s="130" t="s">
        <v>74</v>
      </c>
      <c r="M98" s="131" t="s">
        <v>81</v>
      </c>
      <c r="N98" s="103" t="s">
        <v>116</v>
      </c>
      <c r="O98" s="89" t="s">
        <v>94</v>
      </c>
    </row>
    <row r="99" spans="1:15">
      <c r="A99" s="59" t="s">
        <v>569</v>
      </c>
      <c r="B99" s="90">
        <v>1</v>
      </c>
      <c r="C99" s="604" t="s">
        <v>570</v>
      </c>
      <c r="D99" s="127" t="s">
        <v>571</v>
      </c>
      <c r="E99" s="63" t="str">
        <f>=HYPERLINK(_xlfn.CONCAT("pzplus.tck.mn/db?type=",A99,"&amp;variant=no"),IF(D99&lt;&gt;0,D99,A99))</f>
        <v>邻差和</v>
      </c>
      <c r="F99" s="182">
        <v>4</v>
      </c>
      <c r="G99" s="183" t="s">
        <v>14</v>
      </c>
      <c r="H99" s="164" t="s"/>
      <c r="I99" s="74" t="s">
        <v>572</v>
      </c>
      <c r="J99" s="319">
        <f>=IF(LEN(I99)&gt;0,LEN(I99),"")</f>
        <v>36</v>
      </c>
      <c r="K99" s="62" t="s">
        <v>109</v>
      </c>
      <c r="L99" s="74" t="s">
        <v>1512</v>
      </c>
      <c r="M99" s="373" t="s">
        <v>573</v>
      </c>
      <c r="N99" s="69">
        <v>2007</v>
      </c>
      <c r="O99" s="101" t="s">
        <v>93</v>
      </c>
    </row>
    <row r="100" spans="1:15">
      <c r="A100" s="59" t="s">
        <v>574</v>
      </c>
      <c r="B100" s="90">
        <v>1</v>
      </c>
      <c r="C100" s="604" t="s">
        <v>575</v>
      </c>
      <c r="D100" s="62" t="s">
        <v>576</v>
      </c>
      <c r="E100" s="63" t="str">
        <f>=HYPERLINK(_xlfn.CONCAT("pzplus.tck.mn/db?type=",A100,"&amp;variant=no"),IF(D100&lt;&gt;0,D100,A100))</f>
        <v>斜线迷宫</v>
      </c>
      <c r="F100" s="182">
        <v>4</v>
      </c>
      <c r="G100" s="183" t="s">
        <v>14</v>
      </c>
      <c r="H100" s="164" t="s"/>
      <c r="I100" s="74" t="s">
        <v>577</v>
      </c>
      <c r="J100" s="320">
        <f>=IF(LEN(I100)&gt;0,LEN(I100),"")</f>
        <v>42</v>
      </c>
      <c r="K100" s="62" t="s">
        <v>109</v>
      </c>
      <c r="L100" s="74" t="s">
        <v>74</v>
      </c>
      <c r="M100" s="373" t="s">
        <v>578</v>
      </c>
      <c r="N100" s="69">
        <v>2003</v>
      </c>
      <c r="O100" s="68" t="s">
        <v>76</v>
      </c>
    </row>
    <row r="101" spans="1:15">
      <c r="A101" s="59" t="s">
        <v>579</v>
      </c>
      <c r="B101" s="90">
        <v>1</v>
      </c>
      <c r="C101" s="604" t="s">
        <v>580</v>
      </c>
      <c r="D101" s="62" t="s">
        <v>581</v>
      </c>
      <c r="E101" s="63" t="str">
        <f>=HYPERLINK(_xlfn.CONCAT("pzplus.tck.mn/db?type=",A101,"&amp;variant=no"),IF(D101&lt;&gt;0,D101,A101))</f>
        <v>简单计数</v>
      </c>
      <c r="F101" s="182">
        <v>4</v>
      </c>
      <c r="G101" s="183" t="s">
        <v>14</v>
      </c>
      <c r="H101" s="164" t="s"/>
      <c r="I101" s="74" t="s">
        <v>582</v>
      </c>
      <c r="J101" s="321">
        <f>=IF(LEN(I101)&gt;0,LEN(I101),"")</f>
        <v>43</v>
      </c>
      <c r="K101" s="62" t="s">
        <v>73</v>
      </c>
      <c r="L101" s="74" t="s">
        <v>1513</v>
      </c>
      <c r="M101" s="89" t="s"/>
      <c r="N101" s="76" t="s"/>
      <c r="O101" s="89" t="s"/>
    </row>
    <row r="102" spans="1:15">
      <c r="A102" s="59" t="s">
        <v>583</v>
      </c>
      <c r="B102" s="90">
        <v>1</v>
      </c>
      <c r="C102" s="604" t="s">
        <v>584</v>
      </c>
      <c r="D102" s="127" t="s">
        <v>585</v>
      </c>
      <c r="E102" s="63" t="str">
        <f>=HYPERLINK(_xlfn.CONCAT("pzplus.tck.mn/db?type=",A102,"&amp;variant=no"),IF(D102&lt;&gt;0,D102,A102))</f>
        <v>面积填写</v>
      </c>
      <c r="F102" s="182">
        <v>4</v>
      </c>
      <c r="G102" s="183" t="s">
        <v>14</v>
      </c>
      <c r="H102" s="164" t="s"/>
      <c r="I102" s="74" t="s">
        <v>586</v>
      </c>
      <c r="J102" s="290">
        <f>=IF(LEN(I102)&gt;0,LEN(I102),"")</f>
        <v>49</v>
      </c>
      <c r="K102" s="127" t="s">
        <v>587</v>
      </c>
      <c r="L102" s="74" t="s">
        <v>1514</v>
      </c>
      <c r="M102" s="89" t="s">
        <v>588</v>
      </c>
      <c r="N102" s="69">
        <v>1995</v>
      </c>
      <c r="O102" s="89" t="s">
        <v>93</v>
      </c>
    </row>
    <row r="103" spans="1:15">
      <c r="A103" s="59" t="s">
        <v>589</v>
      </c>
      <c r="B103" s="70">
        <v>0.8</v>
      </c>
      <c r="C103" s="604" t="s">
        <v>590</v>
      </c>
      <c r="D103" s="127" t="s">
        <v>591</v>
      </c>
      <c r="E103" s="63" t="str">
        <f>=HYPERLINK(_xlfn.CONCAT("pzplus.tck.mn/db?type=",A103,"&amp;variant=no"),IF(D103&lt;&gt;0,D103,A103))</f>
        <v>数组/胶囊</v>
      </c>
      <c r="F103" s="182">
        <v>4</v>
      </c>
      <c r="G103" s="183" t="s">
        <v>14</v>
      </c>
      <c r="H103" s="164" t="s"/>
      <c r="I103" s="74" t="s">
        <v>592</v>
      </c>
      <c r="J103" s="315">
        <f>=IF(LEN(I103)&gt;0,LEN(I103),"")</f>
        <v>54</v>
      </c>
      <c r="K103" s="127" t="s">
        <v>593</v>
      </c>
      <c r="L103" s="74" t="s">
        <v>1515</v>
      </c>
      <c r="M103" s="89" t="s">
        <v>81</v>
      </c>
      <c r="N103" s="69">
        <v>2001</v>
      </c>
      <c r="O103" s="89" t="s">
        <v>94</v>
      </c>
    </row>
    <row r="104" spans="1:15">
      <c r="A104" s="59" t="s">
        <v>594</v>
      </c>
      <c r="B104" s="90">
        <v>1</v>
      </c>
      <c r="C104" s="604" t="s">
        <v>595</v>
      </c>
      <c r="D104" s="127" t="s">
        <v>596</v>
      </c>
      <c r="E104" s="63" t="str">
        <f>=HYPERLINK(_xlfn.CONCAT("pzplus.tck.mn/db?type=",A104,"&amp;variant=no"),IF(D104&lt;&gt;0,D104,A104))</f>
        <v>数独</v>
      </c>
      <c r="F104" s="182">
        <v>4</v>
      </c>
      <c r="G104" s="183" t="s">
        <v>14</v>
      </c>
      <c r="H104" s="164" t="s"/>
      <c r="I104" s="74" t="s">
        <v>597</v>
      </c>
      <c r="J104" s="166">
        <f>=IF(LEN(I104)&gt;0,LEN(I104),"")</f>
        <v>55</v>
      </c>
      <c r="K104" s="127" t="s">
        <v>598</v>
      </c>
      <c r="L104" s="74" t="s">
        <v>1516</v>
      </c>
      <c r="M104" s="131" t="s">
        <v>599</v>
      </c>
      <c r="N104" s="69">
        <v>1979</v>
      </c>
      <c r="O104" s="89" t="s">
        <v>308</v>
      </c>
    </row>
    <row r="105" spans="1:15">
      <c r="A105" s="59" t="s">
        <v>600</v>
      </c>
      <c r="B105" s="90">
        <v>1</v>
      </c>
      <c r="C105" s="604" t="s">
        <v>601</v>
      </c>
      <c r="D105" s="127" t="s">
        <v>602</v>
      </c>
      <c r="E105" s="63" t="str">
        <f>=HYPERLINK(_xlfn.CONCAT("pzplus.tck.mn/db?type=",A105,"&amp;variant=no"),IF(D105&lt;&gt;0,D105,A105))</f>
        <v>蜿蜒</v>
      </c>
      <c r="F105" s="182">
        <v>4</v>
      </c>
      <c r="G105" s="183" t="s">
        <v>14</v>
      </c>
      <c r="H105" s="164" t="s"/>
      <c r="I105" s="74" t="s">
        <v>603</v>
      </c>
      <c r="J105" s="322">
        <f>=IF(LEN(I105)&gt;0,LEN(I105),"")</f>
        <v>61</v>
      </c>
      <c r="K105" s="127" t="s">
        <v>604</v>
      </c>
      <c r="L105" s="130" t="s">
        <v>74</v>
      </c>
      <c r="M105" s="389" t="s">
        <v>605</v>
      </c>
      <c r="N105" s="103">
        <v>2014</v>
      </c>
      <c r="O105" s="101" t="s">
        <v>94</v>
      </c>
    </row>
    <row r="106" spans="1:15">
      <c r="A106" s="59" t="s">
        <v>606</v>
      </c>
      <c r="B106" s="141">
        <v>0</v>
      </c>
      <c r="C106" s="604" t="s">
        <v>607</v>
      </c>
      <c r="D106" s="62" t="s">
        <v>608</v>
      </c>
      <c r="E106" s="63" t="str">
        <f>=HYPERLINK(_xlfn.CONCAT("pzplus.tck.mn/db?type=",A106,"&amp;variant=no"),IF(D106&lt;&gt;0,D106,A106))</f>
        <v>盲点</v>
      </c>
      <c r="F106" s="182">
        <v>4</v>
      </c>
      <c r="G106" s="183" t="s">
        <v>14</v>
      </c>
      <c r="H106" s="164" t="s"/>
      <c r="I106" s="74" t="s">
        <v>609</v>
      </c>
      <c r="J106" s="292">
        <f>=IF(LEN(I106)&gt;0,LEN(I106),"")</f>
        <v>63</v>
      </c>
      <c r="K106" s="62" t="s">
        <v>229</v>
      </c>
      <c r="L106" s="323" t="s">
        <v>74</v>
      </c>
      <c r="M106" s="188" t="s"/>
      <c r="N106" s="180" t="s"/>
      <c r="O106" s="131" t="s"/>
    </row>
    <row r="107" spans="1:15">
      <c r="A107" s="59" t="s">
        <v>610</v>
      </c>
      <c r="B107" s="141">
        <v>0</v>
      </c>
      <c r="C107" s="604" t="s">
        <v>611</v>
      </c>
      <c r="D107" s="127" t="s">
        <v>612</v>
      </c>
      <c r="E107" s="63" t="str">
        <f>=HYPERLINK(_xlfn.CONCAT("pzplus.tck.mn/db?type=",A107,"&amp;variant=no"),IF(D107&lt;&gt;0,D107,A107))</f>
        <v>冗余</v>
      </c>
      <c r="F107" s="182">
        <v>4</v>
      </c>
      <c r="G107" s="183" t="s">
        <v>14</v>
      </c>
      <c r="H107" s="164" t="s"/>
      <c r="I107" s="74" t="s">
        <v>613</v>
      </c>
      <c r="J107" s="293">
        <f>=IF(LEN(I107)&gt;0,LEN(I107),"")</f>
        <v>64</v>
      </c>
      <c r="K107" s="127" t="s">
        <v>390</v>
      </c>
      <c r="L107" s="74" t="s">
        <v>1517</v>
      </c>
      <c r="M107" s="89" t="s">
        <v>614</v>
      </c>
      <c r="N107" s="69">
        <v>2007</v>
      </c>
      <c r="O107" s="131" t="s">
        <v>94</v>
      </c>
    </row>
    <row r="108" spans="1:15">
      <c r="A108" s="59" t="s">
        <v>615</v>
      </c>
      <c r="B108" s="90">
        <v>1</v>
      </c>
      <c r="C108" s="604" t="s">
        <v>616</v>
      </c>
      <c r="D108" s="127" t="s">
        <v>617</v>
      </c>
      <c r="E108" s="63" t="str">
        <f>=HYPERLINK(_xlfn.CONCAT("pzplus.tck.mn/db?type=",A108,"&amp;variant=no"),IF(D108&lt;&gt;0,D108,A108))</f>
        <v>双黑格</v>
      </c>
      <c r="F108" s="182">
        <v>4</v>
      </c>
      <c r="G108" s="183" t="s">
        <v>14</v>
      </c>
      <c r="H108" s="164" t="s"/>
      <c r="I108" s="74" t="s">
        <v>618</v>
      </c>
      <c r="J108" s="305">
        <f>=IF(LEN(I108)&gt;0,LEN(I108),"")</f>
        <v>66</v>
      </c>
      <c r="K108" s="127" t="s">
        <v>619</v>
      </c>
      <c r="L108" s="74" t="s">
        <v>1518</v>
      </c>
      <c r="M108" s="89" t="s">
        <v>620</v>
      </c>
      <c r="N108" s="69" t="s">
        <v>621</v>
      </c>
      <c r="O108" s="89" t="s">
        <v>94</v>
      </c>
    </row>
    <row r="109" spans="1:15">
      <c r="A109" s="59" t="s">
        <v>622</v>
      </c>
      <c r="B109" s="90">
        <v>1</v>
      </c>
      <c r="C109" s="604" t="s">
        <v>623</v>
      </c>
      <c r="D109" s="127" t="s">
        <v>624</v>
      </c>
      <c r="E109" s="63" t="str">
        <f>=HYPERLINK(_xlfn.CONCAT("pzplus.tck.mn/db?type=",A109,"&amp;variant=no"),IF(D109&lt;&gt;0,D109,A109))</f>
        <v>连番窗口</v>
      </c>
      <c r="F109" s="182">
        <v>4</v>
      </c>
      <c r="G109" s="183" t="s">
        <v>14</v>
      </c>
      <c r="H109" s="164" t="s"/>
      <c r="I109" s="74" t="s">
        <v>625</v>
      </c>
      <c r="J109" s="324">
        <f>=IF(LEN(I109)&gt;0,LEN(I109),"")</f>
        <v>68</v>
      </c>
      <c r="K109" s="127" t="s">
        <v>109</v>
      </c>
      <c r="L109" s="61" t="s">
        <v>626</v>
      </c>
      <c r="M109" s="89" t="s">
        <v>627</v>
      </c>
      <c r="N109" s="69">
        <v>2009</v>
      </c>
      <c r="O109" s="89" t="s">
        <v>76</v>
      </c>
    </row>
    <row r="110" spans="1:15">
      <c r="A110" s="59" t="s">
        <v>628</v>
      </c>
      <c r="B110" s="90">
        <v>1</v>
      </c>
      <c r="C110" s="604" t="s">
        <v>629</v>
      </c>
      <c r="D110" s="127" t="s">
        <v>630</v>
      </c>
      <c r="E110" s="63" t="str">
        <f>=HYPERLINK(_xlfn.CONCAT("pzplus.tck.mn/db?type=",A110,"&amp;variant=no"),IF(D110&lt;&gt;0,D110,A110))</f>
        <v>数殖</v>
      </c>
      <c r="F110" s="182">
        <v>4</v>
      </c>
      <c r="G110" s="183" t="s">
        <v>14</v>
      </c>
      <c r="H110" s="164" t="s"/>
      <c r="I110" s="74" t="s">
        <v>631</v>
      </c>
      <c r="J110" s="294">
        <f>=IF(LEN(I110)&gt;0,LEN(I110),"")</f>
        <v>69</v>
      </c>
      <c r="K110" s="127" t="s">
        <v>593</v>
      </c>
      <c r="L110" s="74" t="s">
        <v>1519</v>
      </c>
      <c r="M110" s="131" t="s">
        <v>632</v>
      </c>
      <c r="N110" s="69">
        <v>1992</v>
      </c>
      <c r="O110" s="89" t="s">
        <v>93</v>
      </c>
    </row>
    <row r="111" spans="1:15">
      <c r="A111" s="59" t="s">
        <v>633</v>
      </c>
      <c r="B111" s="90">
        <v>1</v>
      </c>
      <c r="C111" s="604" t="s">
        <v>634</v>
      </c>
      <c r="D111" s="136" t="s">
        <v>635</v>
      </c>
      <c r="E111" s="63" t="str">
        <f>=HYPERLINK(_xlfn.CONCAT("pzplus.tck.mn/db?type=",A111,"&amp;variant=no"),IF(D111&lt;&gt;0,D111,A111))</f>
        <v>捡棋子</v>
      </c>
      <c r="F111" s="182">
        <v>4</v>
      </c>
      <c r="G111" s="183" t="s">
        <v>14</v>
      </c>
      <c r="H111" s="164" t="s"/>
      <c r="I111" s="74" t="s">
        <v>636</v>
      </c>
      <c r="J111" s="306">
        <f>=IF(LEN(I111)&gt;0,LEN(I111),"")</f>
        <v>70</v>
      </c>
      <c r="K111" s="127" t="s">
        <v>115</v>
      </c>
      <c r="L111" s="74" t="s">
        <v>1520</v>
      </c>
      <c r="M111" s="131" t="s"/>
      <c r="N111" s="76" t="s"/>
      <c r="O111" s="89" t="s"/>
    </row>
    <row r="112" spans="1:15">
      <c r="A112" s="59" t="s">
        <v>637</v>
      </c>
      <c r="B112" s="90">
        <v>1</v>
      </c>
      <c r="C112" s="604" t="s">
        <v>638</v>
      </c>
      <c r="D112" s="127" t="s">
        <v>639</v>
      </c>
      <c r="E112" s="63" t="str">
        <f>=HYPERLINK(_xlfn.CONCAT("pzplus.tck.mn/db?type=",A112,"&amp;variant=no"),IF(D112&lt;&gt;0,D112,A112))</f>
        <v>数和</v>
      </c>
      <c r="F112" s="182">
        <v>4</v>
      </c>
      <c r="G112" s="183" t="s">
        <v>14</v>
      </c>
      <c r="H112" s="164" t="s"/>
      <c r="I112" s="74" t="s">
        <v>640</v>
      </c>
      <c r="J112" s="306">
        <f>=IF(LEN(I112)&gt;0,LEN(I112),"")</f>
        <v>70</v>
      </c>
      <c r="K112" s="62" t="s">
        <v>73</v>
      </c>
      <c r="L112" s="98" t="s">
        <v>1521</v>
      </c>
      <c r="M112" s="373" t="s">
        <v>641</v>
      </c>
      <c r="N112" s="69">
        <v>1966</v>
      </c>
      <c r="O112" s="68" t="s">
        <v>94</v>
      </c>
    </row>
    <row r="113" spans="1:15">
      <c r="A113" s="59" t="s">
        <v>642</v>
      </c>
      <c r="B113" s="90">
        <v>1</v>
      </c>
      <c r="C113" s="604" t="s">
        <v>643</v>
      </c>
      <c r="D113" s="98" t="s">
        <v>644</v>
      </c>
      <c r="E113" s="63" t="str">
        <f>=HYPERLINK(_xlfn.CONCAT("pzplus.tck.mn/db?type=",A113,"&amp;variant=no"),IF(D113&lt;&gt;0,D113,A113))</f>
        <v>简单字符</v>
      </c>
      <c r="F113" s="182">
        <v>4</v>
      </c>
      <c r="G113" s="183" t="s">
        <v>14</v>
      </c>
      <c r="H113" s="164" t="s"/>
      <c r="I113" s="74" t="s">
        <v>645</v>
      </c>
      <c r="J113" s="307">
        <f>=IF(LEN(I113)&gt;0,LEN(I113),"")</f>
        <v>71</v>
      </c>
      <c r="K113" s="62" t="s">
        <v>180</v>
      </c>
      <c r="L113" s="74" t="s">
        <v>74</v>
      </c>
      <c r="M113" s="389" t="s">
        <v>646</v>
      </c>
      <c r="N113" s="69">
        <v>1990</v>
      </c>
      <c r="O113" s="101" t="s">
        <v>94</v>
      </c>
    </row>
    <row r="114" spans="1:15">
      <c r="A114" s="191" t="s">
        <v>647</v>
      </c>
      <c r="B114" s="90">
        <v>1</v>
      </c>
      <c r="C114" s="604" t="s">
        <v>648</v>
      </c>
      <c r="D114" s="98" t="s">
        <v>649</v>
      </c>
      <c r="E114" s="63" t="str">
        <f>=HYPERLINK(_xlfn.CONCAT("pzplus.tck.mn/db?type=",A114,"&amp;variant=no"),IF(D114&lt;&gt;0,D114,A114))</f>
        <v>差距一致</v>
      </c>
      <c r="F114" s="182">
        <v>4</v>
      </c>
      <c r="G114" s="183" t="s">
        <v>14</v>
      </c>
      <c r="H114" s="164" t="s"/>
      <c r="I114" s="62" t="s">
        <v>650</v>
      </c>
      <c r="J114" s="308">
        <f>=IF(LEN(I114)&gt;0,LEN(I114),"")</f>
        <v>72</v>
      </c>
      <c r="K114" s="62" t="s">
        <v>115</v>
      </c>
      <c r="L114" s="74" t="s">
        <v>1522</v>
      </c>
      <c r="M114" s="600" t="s">
        <v>651</v>
      </c>
      <c r="N114" s="69">
        <v>2011</v>
      </c>
      <c r="O114" s="101" t="s">
        <v>93</v>
      </c>
    </row>
    <row r="115" spans="1:15">
      <c r="A115" s="59" t="s">
        <v>652</v>
      </c>
      <c r="B115" s="141">
        <v>0</v>
      </c>
      <c r="C115" s="604" t="s">
        <v>653</v>
      </c>
      <c r="D115" s="62" t="s">
        <v>654</v>
      </c>
      <c r="E115" s="63" t="str">
        <f>=HYPERLINK(_xlfn.CONCAT("pzplus.tck.mn/db?type=",A115,"&amp;variant=no"),IF(D115&lt;&gt;0,D115,A115))</f>
        <v>连番</v>
      </c>
      <c r="F115" s="183">
        <v>4</v>
      </c>
      <c r="G115" s="183" t="s">
        <v>14</v>
      </c>
      <c r="H115" s="192" t="s"/>
      <c r="I115" s="193" t="s">
        <v>655</v>
      </c>
      <c r="J115" s="295">
        <f>=IF(LEN(I115)&gt;0,LEN(I115),"")</f>
        <v>73</v>
      </c>
      <c r="K115" s="62" t="s">
        <v>109</v>
      </c>
      <c r="L115" s="61" t="s">
        <v>656</v>
      </c>
      <c r="M115" s="131" t="s"/>
      <c r="N115" s="208" t="s"/>
      <c r="O115" s="131" t="s"/>
    </row>
    <row r="116" spans="1:15">
      <c r="A116" s="59" t="s">
        <v>657</v>
      </c>
      <c r="B116" s="90">
        <v>1</v>
      </c>
      <c r="C116" s="604" t="s">
        <v>658</v>
      </c>
      <c r="D116" s="127" t="s">
        <v>659</v>
      </c>
      <c r="E116" s="63" t="str">
        <f>=HYPERLINK(_xlfn.CONCAT("pzplus.tck.mn/db?type=",A116,"&amp;variant=no"),IF(D116&lt;&gt;0,D116,A116))</f>
        <v>罗马</v>
      </c>
      <c r="F116" s="183">
        <v>4</v>
      </c>
      <c r="G116" s="183" t="s">
        <v>14</v>
      </c>
      <c r="H116" s="192" t="s"/>
      <c r="I116" s="193" t="s">
        <v>660</v>
      </c>
      <c r="J116" s="297">
        <f>=IF(LEN(I116)&gt;0,LEN(I116),"")</f>
        <v>75</v>
      </c>
      <c r="K116" s="62" t="s">
        <v>661</v>
      </c>
      <c r="L116" s="74" t="s">
        <v>1523</v>
      </c>
      <c r="M116" s="595" t="s">
        <v>662</v>
      </c>
      <c r="N116" s="105">
        <v>2010</v>
      </c>
      <c r="O116" s="131" t="s">
        <v>76</v>
      </c>
    </row>
    <row r="117" spans="1:15">
      <c r="A117" s="59" t="s">
        <v>663</v>
      </c>
      <c r="B117" s="90">
        <v>1</v>
      </c>
      <c r="C117" s="604" t="s">
        <v>664</v>
      </c>
      <c r="D117" s="127" t="s">
        <v>665</v>
      </c>
      <c r="E117" s="63" t="str">
        <f>=HYPERLINK(_xlfn.CONCAT("pzplus.tck.mn/db?type=",A117,"&amp;variant=no"),IF(D117&lt;&gt;0,D117,A117))</f>
        <v>山盟海誓</v>
      </c>
      <c r="F117" s="183">
        <v>4</v>
      </c>
      <c r="G117" s="183" t="s">
        <v>14</v>
      </c>
      <c r="H117" s="192" t="s"/>
      <c r="I117" s="193" t="s">
        <v>666</v>
      </c>
      <c r="J117" s="297">
        <f>=IF(LEN(I117)&gt;0,LEN(I117),"")</f>
        <v>75</v>
      </c>
      <c r="K117" s="127" t="s">
        <v>109</v>
      </c>
      <c r="L117" s="61" t="s">
        <v>667</v>
      </c>
      <c r="M117" s="89" t="s">
        <v>668</v>
      </c>
      <c r="N117" s="69">
        <v>2009</v>
      </c>
      <c r="O117" s="68" t="s">
        <v>93</v>
      </c>
    </row>
    <row r="118" spans="1:15">
      <c r="A118" s="59" t="s">
        <v>669</v>
      </c>
      <c r="B118" s="90">
        <v>1</v>
      </c>
      <c r="C118" s="604" t="s">
        <v>670</v>
      </c>
      <c r="D118" s="62" t="s">
        <v>671</v>
      </c>
      <c r="E118" s="63" t="str">
        <f>=HYPERLINK(_xlfn.CONCAT("pzplus.tck.mn/db?type=",A118,"&amp;variant=no"),IF(D118&lt;&gt;0,D118,A118))</f>
        <v>涟漪效应</v>
      </c>
      <c r="F118" s="183">
        <v>4</v>
      </c>
      <c r="G118" s="183" t="s">
        <v>14</v>
      </c>
      <c r="H118" s="192" t="s"/>
      <c r="I118" s="193" t="s">
        <v>672</v>
      </c>
      <c r="J118" s="309">
        <f>=IF(LEN(I118)&gt;0,LEN(I118),"")</f>
        <v>76</v>
      </c>
      <c r="K118" s="62" t="s">
        <v>593</v>
      </c>
      <c r="L118" s="98" t="s">
        <v>74</v>
      </c>
      <c r="M118" s="373" t="s">
        <v>673</v>
      </c>
      <c r="N118" s="69">
        <v>1998</v>
      </c>
      <c r="O118" s="68" t="s">
        <v>76</v>
      </c>
    </row>
    <row r="119" spans="1:15">
      <c r="A119" s="59" t="s">
        <v>674</v>
      </c>
      <c r="B119" s="70">
        <v>0.8</v>
      </c>
      <c r="C119" s="604" t="s">
        <v>675</v>
      </c>
      <c r="D119" s="62" t="s">
        <v>676</v>
      </c>
      <c r="E119" s="63" t="str">
        <f>=HYPERLINK(_xlfn.CONCAT("pzplus.tck.mn/db?type=",A119,"&amp;variant=no"),IF(D119&lt;&gt;0,D119,A119))</f>
        <v>日本和</v>
      </c>
      <c r="F119" s="183">
        <v>4</v>
      </c>
      <c r="G119" s="183" t="s">
        <v>14</v>
      </c>
      <c r="H119" s="192" t="s"/>
      <c r="I119" s="193" t="s">
        <v>677</v>
      </c>
      <c r="J119" s="298">
        <f>=IF(LEN(I119)&gt;0,LEN(I119),"")</f>
        <v>77</v>
      </c>
      <c r="K119" s="62" t="s">
        <v>180</v>
      </c>
      <c r="L119" s="74" t="s">
        <v>74</v>
      </c>
      <c r="M119" s="373" t="s">
        <v>678</v>
      </c>
      <c r="N119" s="69">
        <v>2003</v>
      </c>
      <c r="O119" s="68" t="s">
        <v>94</v>
      </c>
    </row>
    <row r="120" spans="1:15">
      <c r="A120" s="59" t="s">
        <v>679</v>
      </c>
      <c r="B120" s="90">
        <v>1</v>
      </c>
      <c r="C120" s="604" t="s">
        <v>680</v>
      </c>
      <c r="D120" s="62" t="s">
        <v>681</v>
      </c>
      <c r="E120" s="63" t="str">
        <f>=HYPERLINK(_xlfn.CONCAT("pzplus.tck.mn/db?type=",A120,"&amp;variant=no"),IF(D120&lt;&gt;0,D120,A120))</f>
        <v>斜线(环和切)</v>
      </c>
      <c r="F120" s="183">
        <v>4</v>
      </c>
      <c r="G120" s="183" t="s">
        <v>14</v>
      </c>
      <c r="H120" s="192" t="s"/>
      <c r="I120" s="193" t="s">
        <v>682</v>
      </c>
      <c r="J120" s="325">
        <f>=IF(LEN(I120)&gt;0,LEN(I120),"")</f>
        <v>78</v>
      </c>
      <c r="K120" s="62" t="s">
        <v>109</v>
      </c>
      <c r="L120" s="61" t="s">
        <v>683</v>
      </c>
      <c r="M120" s="373" t="s">
        <v>668</v>
      </c>
      <c r="N120" s="69">
        <v>2009</v>
      </c>
      <c r="O120" s="68" t="s">
        <v>93</v>
      </c>
    </row>
    <row r="121" spans="1:15">
      <c r="A121" s="59" t="s">
        <v>684</v>
      </c>
      <c r="B121" s="90">
        <v>1</v>
      </c>
      <c r="C121" s="604" t="s">
        <v>685</v>
      </c>
      <c r="D121" s="98" t="s">
        <v>686</v>
      </c>
      <c r="E121" s="63" t="str">
        <f>=HYPERLINK(_xlfn.CONCAT("pzplus.tck.mn/db?type=",A121,"&amp;variant=no"),IF(D121&lt;&gt;0,D121,A121))</f>
        <v>极大箭头</v>
      </c>
      <c r="F121" s="183">
        <v>4</v>
      </c>
      <c r="G121" s="183" t="s">
        <v>14</v>
      </c>
      <c r="H121" s="192" t="s"/>
      <c r="I121" s="193" t="s">
        <v>687</v>
      </c>
      <c r="J121" s="96">
        <f>=IF(LEN(I121)&gt;0,LEN(I121),"")</f>
        <v>83</v>
      </c>
      <c r="K121" s="62" t="s">
        <v>593</v>
      </c>
      <c r="L121" s="74" t="s">
        <v>1524</v>
      </c>
      <c r="M121" s="389" t="s">
        <v>688</v>
      </c>
      <c r="N121" s="103">
        <v>2013</v>
      </c>
      <c r="O121" s="68" t="s">
        <v>93</v>
      </c>
    </row>
    <row r="122" spans="1:15">
      <c r="A122" s="59" t="s">
        <v>689</v>
      </c>
      <c r="B122" s="70">
        <v>0.8</v>
      </c>
      <c r="C122" s="604" t="s">
        <v>690</v>
      </c>
      <c r="D122" s="72" t="s"/>
      <c r="E122" s="63" t="str">
        <f>=HYPERLINK(_xlfn.CONCAT("pzplus.tck.mn/db?type=",A122,"&amp;variant=no"),IF(D122&lt;&gt;0,D122,A122))</f>
        <v>yajirushi</v>
      </c>
      <c r="F122" s="183">
        <v>4</v>
      </c>
      <c r="G122" s="183" t="s">
        <v>14</v>
      </c>
      <c r="H122" s="192" t="s"/>
      <c r="I122" s="193" t="s">
        <v>691</v>
      </c>
      <c r="J122" s="195">
        <f>=IF(LEN(I122)&gt;0,LEN(I122),"")</f>
        <v>84</v>
      </c>
      <c r="K122" s="62" t="s">
        <v>692</v>
      </c>
      <c r="L122" s="74" t="s">
        <v>1525</v>
      </c>
      <c r="M122" s="131" t="s">
        <v>693</v>
      </c>
      <c r="N122" s="103">
        <v>1998</v>
      </c>
      <c r="O122" s="131" t="s">
        <v>93</v>
      </c>
    </row>
    <row r="123" spans="1:15">
      <c r="A123" s="59" t="s">
        <v>694</v>
      </c>
      <c r="B123" s="90">
        <v>1</v>
      </c>
      <c r="C123" s="604" t="s">
        <v>695</v>
      </c>
      <c r="D123" s="127" t="s">
        <v>696</v>
      </c>
      <c r="E123" s="63" t="str">
        <f>=HYPERLINK(_xlfn.CONCAT("pzplus.tck.mn/db?type=",A123,"&amp;variant=no"),IF(D123&lt;&gt;0,D123,A123))</f>
        <v>叠叠高</v>
      </c>
      <c r="F123" s="183">
        <v>4</v>
      </c>
      <c r="G123" s="183" t="s">
        <v>14</v>
      </c>
      <c r="H123" s="192" t="s"/>
      <c r="I123" s="193" t="s">
        <v>697</v>
      </c>
      <c r="J123" s="143">
        <f>=IF(LEN(I123)&gt;0,LEN(I123),"")</f>
        <v>90</v>
      </c>
      <c r="K123" s="127" t="s">
        <v>593</v>
      </c>
      <c r="L123" s="107" t="s">
        <v>698</v>
      </c>
      <c r="M123" s="89" t="s">
        <v>699</v>
      </c>
      <c r="N123" s="69">
        <v>2008</v>
      </c>
      <c r="O123" s="131" t="s">
        <v>76</v>
      </c>
    </row>
    <row r="124" spans="1:15">
      <c r="A124" s="59" t="s">
        <v>700</v>
      </c>
      <c r="B124" s="90">
        <v>1</v>
      </c>
      <c r="C124" s="604" t="s">
        <v>701</v>
      </c>
      <c r="D124" s="127" t="s">
        <v>702</v>
      </c>
      <c r="E124" s="63" t="str">
        <f>=HYPERLINK(_xlfn.CONCAT("pzplus.tck.mn/db?type=",A124,"&amp;variant=no"),IF(D124&lt;&gt;0,D124,A124))</f>
        <v>翠竹交错</v>
      </c>
      <c r="F124" s="183">
        <v>4</v>
      </c>
      <c r="G124" s="183" t="s">
        <v>14</v>
      </c>
      <c r="H124" s="192" t="s"/>
      <c r="I124" s="193" t="s">
        <v>703</v>
      </c>
      <c r="J124" s="326">
        <f>=IF(LEN(I124)&gt;0,LEN(I124),"")</f>
        <v>91</v>
      </c>
      <c r="K124" s="127" t="s">
        <v>109</v>
      </c>
      <c r="L124" s="107" t="s">
        <v>704</v>
      </c>
      <c r="M124" s="373" t="s">
        <v>705</v>
      </c>
      <c r="N124" s="69">
        <v>2003</v>
      </c>
      <c r="O124" s="68" t="s">
        <v>93</v>
      </c>
    </row>
    <row r="125" spans="1:15">
      <c r="A125" s="59" t="s">
        <v>706</v>
      </c>
      <c r="B125" s="90">
        <v>1</v>
      </c>
      <c r="C125" s="604" t="s">
        <v>707</v>
      </c>
      <c r="D125" s="62" t="s">
        <v>708</v>
      </c>
      <c r="E125" s="63" t="str">
        <f>=HYPERLINK(_xlfn.CONCAT("pzplus.tck.mn/db?type=",A125,"&amp;variant=no"),IF(D125&lt;&gt;0,D125,A125))</f>
        <v>物以类聚</v>
      </c>
      <c r="F125" s="183">
        <v>4</v>
      </c>
      <c r="G125" s="183" t="s">
        <v>14</v>
      </c>
      <c r="H125" s="192" t="s"/>
      <c r="I125" s="193" t="s">
        <v>709</v>
      </c>
      <c r="J125" s="318">
        <f>=IF(LEN(I125)&gt;0,LEN(I125),"")</f>
        <v>96</v>
      </c>
      <c r="K125" s="62" t="s">
        <v>710</v>
      </c>
      <c r="L125" s="74" t="s">
        <v>1526</v>
      </c>
      <c r="M125" s="389" t="s">
        <v>711</v>
      </c>
      <c r="N125" s="103">
        <v>2000</v>
      </c>
      <c r="O125" s="101" t="s">
        <v>76</v>
      </c>
    </row>
    <row r="126" spans="1:15">
      <c r="A126" s="59" t="s">
        <v>712</v>
      </c>
      <c r="B126" s="327">
        <v>1</v>
      </c>
      <c r="C126" s="604" t="s">
        <v>713</v>
      </c>
      <c r="D126" s="62" t="s">
        <v>714</v>
      </c>
      <c r="E126" s="63" t="str">
        <f>=HYPERLINK(_xlfn.CONCAT("pzplus.tck.mn/db?type=",A126,"&amp;variant=no"),IF(D126&lt;&gt;0,D126,A126))</f>
        <v>箭头流动</v>
      </c>
      <c r="F126" s="183">
        <v>4</v>
      </c>
      <c r="G126" s="183" t="s">
        <v>14</v>
      </c>
      <c r="H126" s="192" t="s"/>
      <c r="I126" s="193" t="s">
        <v>715</v>
      </c>
      <c r="J126" s="328">
        <f>=IF(LEN(I126)&gt;0,LEN(I126),"")</f>
        <v>100</v>
      </c>
      <c r="K126" s="62" t="s">
        <v>365</v>
      </c>
      <c r="L126" s="71" t="s">
        <v>74</v>
      </c>
      <c r="M126" s="595" t="s">
        <v>81</v>
      </c>
      <c r="N126" s="105">
        <v>2008</v>
      </c>
      <c r="O126" s="101" t="s">
        <v>94</v>
      </c>
    </row>
    <row r="127" spans="1:15">
      <c r="A127" s="59" t="s">
        <v>716</v>
      </c>
      <c r="B127" s="198">
        <v>0.5</v>
      </c>
      <c r="C127" s="604" t="s">
        <v>717</v>
      </c>
      <c r="D127" s="62" t="s">
        <v>718</v>
      </c>
      <c r="E127" s="63" t="str">
        <f>=HYPERLINK(_xlfn.CONCAT("pzplus.tck.mn/db?type=",A127,"&amp;variant=no"),IF(D127&lt;&gt;0,D127,A127))</f>
        <v>拼词</v>
      </c>
      <c r="F127" s="183">
        <v>4</v>
      </c>
      <c r="G127" s="183" t="s">
        <v>14</v>
      </c>
      <c r="H127" s="192" t="s"/>
      <c r="I127" s="193" t="s">
        <v>719</v>
      </c>
      <c r="J127" s="329">
        <f>=IF(LEN(I127)&gt;0,LEN(I127),"")</f>
        <v>101</v>
      </c>
      <c r="K127" s="62" t="s">
        <v>73</v>
      </c>
      <c r="L127" s="74" t="s">
        <v>74</v>
      </c>
      <c r="M127" s="595" t="s">
        <v>720</v>
      </c>
      <c r="N127" s="105">
        <v>1924</v>
      </c>
      <c r="O127" s="101" t="s">
        <v>308</v>
      </c>
    </row>
    <row r="128" spans="1:15">
      <c r="A128" s="59" t="s">
        <v>721</v>
      </c>
      <c r="B128" s="141">
        <v>0</v>
      </c>
      <c r="C128" s="604" t="s">
        <v>722</v>
      </c>
      <c r="D128" s="62" t="s">
        <v>723</v>
      </c>
      <c r="E128" s="63" t="str">
        <f>=HYPERLINK(_xlfn.CONCAT("pzplus.tck.mn/db?type=",A128,"&amp;variant=no"),IF(D128&lt;&gt;0,D128,A128))</f>
        <v>黑白点对</v>
      </c>
      <c r="F128" s="183">
        <v>4</v>
      </c>
      <c r="G128" s="183" t="s">
        <v>14</v>
      </c>
      <c r="H128" s="192" t="s"/>
      <c r="I128" s="193" t="s">
        <v>724</v>
      </c>
      <c r="J128" s="177">
        <f>=IF(LEN(I128)&gt;0,LEN(I128),"")</f>
        <v>110</v>
      </c>
      <c r="K128" s="62" t="s">
        <v>73</v>
      </c>
      <c r="L128" s="74" t="s">
        <v>725</v>
      </c>
      <c r="M128" s="89" t="s"/>
      <c r="N128" s="76" t="s"/>
      <c r="O128" s="89" t="s"/>
    </row>
    <row r="129" spans="1:15">
      <c r="A129" s="59" t="s">
        <v>726</v>
      </c>
      <c r="B129" s="90">
        <v>1</v>
      </c>
      <c r="C129" s="604" t="s">
        <v>727</v>
      </c>
      <c r="D129" s="127" t="s">
        <v>728</v>
      </c>
      <c r="E129" s="63" t="str">
        <f>=HYPERLINK(_xlfn.CONCAT("pzplus.tck.mn/db?type=",A129,"&amp;variant=no"),IF(D129&lt;&gt;0,D129,A129))</f>
        <v>摩天楼</v>
      </c>
      <c r="F129" s="183">
        <v>4</v>
      </c>
      <c r="G129" s="183" t="s">
        <v>14</v>
      </c>
      <c r="H129" s="192" t="s"/>
      <c r="I129" s="193" t="s">
        <v>729</v>
      </c>
      <c r="J129" s="330">
        <f>=IF(LEN(I129)&gt;0,LEN(I129),"")</f>
        <v>112</v>
      </c>
      <c r="K129" s="127" t="s">
        <v>593</v>
      </c>
      <c r="L129" s="127" t="s">
        <v>74</v>
      </c>
      <c r="M129" s="131" t="s">
        <v>730</v>
      </c>
      <c r="N129" s="69">
        <v>1992</v>
      </c>
      <c r="O129" s="131" t="s">
        <v>94</v>
      </c>
    </row>
    <row r="130" spans="1:15">
      <c r="A130" s="59" t="s">
        <v>731</v>
      </c>
      <c r="B130" s="141">
        <v>0</v>
      </c>
      <c r="C130" s="604" t="s">
        <v>732</v>
      </c>
      <c r="D130" s="62" t="s">
        <v>733</v>
      </c>
      <c r="E130" s="63" t="str">
        <f>=HYPERLINK(_xlfn.CONCAT("pzplus.tck.mn/db?type=",A130,"&amp;variant=no"),IF(D130&lt;&gt;0,D130,A130))</f>
        <v>连续四数组</v>
      </c>
      <c r="F130" s="183">
        <v>4</v>
      </c>
      <c r="G130" s="183" t="s">
        <v>14</v>
      </c>
      <c r="H130" s="192" t="s"/>
      <c r="I130" s="193" t="s">
        <v>734</v>
      </c>
      <c r="J130" s="110">
        <f>=IF(LEN(I130)&gt;0,LEN(I130),"")</f>
        <v>120</v>
      </c>
      <c r="K130" s="62" t="s">
        <v>593</v>
      </c>
      <c r="L130" s="74" t="s">
        <v>74</v>
      </c>
      <c r="M130" s="600" t="s">
        <v>735</v>
      </c>
      <c r="N130" s="69">
        <v>2015</v>
      </c>
      <c r="O130" s="101" t="s">
        <v>308</v>
      </c>
    </row>
    <row r="131" spans="1:15">
      <c r="A131" s="59" t="s">
        <v>736</v>
      </c>
      <c r="B131" s="141">
        <v>0</v>
      </c>
      <c r="C131" s="604" t="s">
        <v>737</v>
      </c>
      <c r="D131" s="62" t="s">
        <v>738</v>
      </c>
      <c r="E131" s="63" t="str">
        <f>=HYPERLINK(_xlfn.CONCAT("pzplus.tck.mn/db?type=",A131,"&amp;variant=no"),IF(D131&lt;&gt;0,D131,A131))</f>
        <v>蜗牛</v>
      </c>
      <c r="F131" s="183">
        <v>4</v>
      </c>
      <c r="G131" s="183" t="s">
        <v>14</v>
      </c>
      <c r="H131" s="192" t="s"/>
      <c r="I131" s="193" t="s">
        <v>739</v>
      </c>
      <c r="J131" s="110">
        <f>=IF(LEN(I131)&gt;0,LEN(I131),"")</f>
        <v>120</v>
      </c>
      <c r="K131" s="62" t="s">
        <v>740</v>
      </c>
      <c r="L131" s="74" t="s">
        <v>74</v>
      </c>
      <c r="M131" s="131" t="s"/>
      <c r="N131" s="208" t="s"/>
      <c r="O131" s="131" t="s"/>
    </row>
    <row r="132" spans="1:15">
      <c r="A132" s="59" t="s">
        <v>741</v>
      </c>
      <c r="B132" s="141">
        <v>0</v>
      </c>
      <c r="C132" s="604" t="s">
        <v>742</v>
      </c>
      <c r="D132" s="127" t="s">
        <v>743</v>
      </c>
      <c r="E132" s="63" t="str">
        <f>=HYPERLINK(_xlfn.CONCAT("pzplus.tck.mn/db?type=",A132,"&amp;variant=no"),IF(D132&lt;&gt;0,D132,A132))</f>
        <v>魔夏</v>
      </c>
      <c r="F132" s="183">
        <v>4</v>
      </c>
      <c r="G132" s="183" t="s">
        <v>14</v>
      </c>
      <c r="H132" s="192" t="s"/>
      <c r="I132" s="193" t="s">
        <v>744</v>
      </c>
      <c r="J132" s="331">
        <f>=IF(LEN(I132)&gt;0,LEN(I132),"")</f>
        <v>127</v>
      </c>
      <c r="K132" s="127" t="s">
        <v>73</v>
      </c>
      <c r="L132" s="74" t="s">
        <v>1527</v>
      </c>
      <c r="M132" s="600" t="s">
        <v>745</v>
      </c>
      <c r="N132" s="105">
        <v>2007</v>
      </c>
      <c r="O132" s="101" t="s">
        <v>308</v>
      </c>
    </row>
    <row r="133" spans="1:15">
      <c r="A133" s="59" t="s">
        <v>746</v>
      </c>
      <c r="B133" s="60">
        <v>1</v>
      </c>
      <c r="C133" s="604" t="s">
        <v>747</v>
      </c>
      <c r="D133" s="62" t="s">
        <v>748</v>
      </c>
      <c r="E133" s="63" t="str">
        <f>=HYPERLINK(_xlfn.CONCAT("pzplus.tck.mn/db?type=",A133,"&amp;variant=no"),IF(D133&lt;&gt;0,D133,A133))</f>
        <v>黑白点</v>
      </c>
      <c r="F133" s="183">
        <v>4</v>
      </c>
      <c r="G133" s="183" t="s">
        <v>14</v>
      </c>
      <c r="H133" s="192" t="s"/>
      <c r="I133" s="193" t="s">
        <v>749</v>
      </c>
      <c r="J133" s="111">
        <f>=IF(LEN(I133)&gt;0,LEN(I133),"")</f>
        <v>129</v>
      </c>
      <c r="K133" s="62" t="s">
        <v>390</v>
      </c>
      <c r="L133" s="74" t="s">
        <v>1528</v>
      </c>
      <c r="M133" s="600" t="s">
        <v>745</v>
      </c>
      <c r="N133" s="202">
        <v>2005</v>
      </c>
      <c r="O133" s="101" t="s">
        <v>94</v>
      </c>
    </row>
    <row r="134" spans="1:15">
      <c r="A134" s="59" t="s">
        <v>750</v>
      </c>
      <c r="B134" s="327">
        <v>1</v>
      </c>
      <c r="C134" s="604" t="s">
        <v>751</v>
      </c>
      <c r="D134" s="62" t="s">
        <v>752</v>
      </c>
      <c r="E134" s="63" t="str">
        <f>=HYPERLINK(_xlfn.CONCAT("pzplus.tck.mn/db?type=",A134,"&amp;variant=no"),IF(D134&lt;&gt;0,D134,A134))</f>
        <v>群蛇乱舞</v>
      </c>
      <c r="F134" s="183">
        <v>4</v>
      </c>
      <c r="G134" s="183" t="s">
        <v>14</v>
      </c>
      <c r="H134" s="192" t="s"/>
      <c r="I134" s="193" t="s">
        <v>753</v>
      </c>
      <c r="J134" s="203">
        <f>=IF(LEN(I134)&gt;0,LEN(I134),"")</f>
        <v>153</v>
      </c>
      <c r="K134" s="62" t="s">
        <v>754</v>
      </c>
      <c r="L134" s="62" t="s">
        <v>1529</v>
      </c>
      <c r="M134" s="389" t="s">
        <v>755</v>
      </c>
      <c r="N134" s="103">
        <v>2009</v>
      </c>
      <c r="O134" s="101" t="s">
        <v>76</v>
      </c>
    </row>
    <row r="135" spans="1:15">
      <c r="A135" s="59" t="s">
        <v>756</v>
      </c>
      <c r="B135" s="198">
        <v>0.5</v>
      </c>
      <c r="C135" s="604" t="s">
        <v>757</v>
      </c>
      <c r="D135" s="62" t="s">
        <v>758</v>
      </c>
      <c r="E135" s="63" t="str">
        <f>=HYPERLINK(_xlfn.CONCAT("pzplus.tck.mn/db?type=",A135,"&amp;variant=no"),IF(D135&lt;&gt;0,D135,A135))</f>
        <v>地铁</v>
      </c>
      <c r="F135" s="183">
        <v>4</v>
      </c>
      <c r="G135" s="183" t="s">
        <v>14</v>
      </c>
      <c r="H135" s="192" t="s"/>
      <c r="I135" s="193" t="s">
        <v>759</v>
      </c>
      <c r="J135" s="203">
        <f>=IF(LEN(I135)&gt;0,LEN(I135),"")</f>
        <v>153</v>
      </c>
      <c r="K135" s="62" t="s">
        <v>760</v>
      </c>
      <c r="L135" s="74" t="s">
        <v>1530</v>
      </c>
      <c r="M135" s="595" t="s">
        <v>761</v>
      </c>
      <c r="N135" s="105" t="s">
        <v>762</v>
      </c>
      <c r="O135" s="101" t="s">
        <v>308</v>
      </c>
    </row>
    <row r="136" spans="1:15">
      <c r="A136" s="59" t="s">
        <v>763</v>
      </c>
      <c r="B136" s="141">
        <v>0</v>
      </c>
      <c r="C136" s="604" t="s">
        <v>764</v>
      </c>
      <c r="D136" s="62" t="s">
        <v>765</v>
      </c>
      <c r="E136" s="63" t="str">
        <f>=HYPERLINK(_xlfn.CONCAT("pzplus.tck.mn/db?type=",A136,"&amp;variant=no"),IF(D136&lt;&gt;0,D136,A136))</f>
        <v>裁方块</v>
      </c>
      <c r="F136" s="204">
        <v>5</v>
      </c>
      <c r="G136" s="204" t="s">
        <v>17</v>
      </c>
      <c r="H136" s="192" t="s"/>
      <c r="I136" s="193" t="s">
        <v>766</v>
      </c>
      <c r="J136" s="160">
        <f>=IF(LEN(I136)&gt;0,LEN(I136),"")</f>
        <v>32</v>
      </c>
      <c r="K136" s="62" t="s">
        <v>73</v>
      </c>
      <c r="L136" s="74" t="s">
        <v>74</v>
      </c>
      <c r="M136" s="89" t="s"/>
      <c r="N136" s="76" t="s"/>
      <c r="O136" s="89" t="s"/>
    </row>
    <row r="137" spans="1:15">
      <c r="A137" s="59" t="s">
        <v>767</v>
      </c>
      <c r="B137" s="90">
        <v>1</v>
      </c>
      <c r="C137" s="604" t="s">
        <v>768</v>
      </c>
      <c r="D137" s="62" t="s">
        <v>769</v>
      </c>
      <c r="E137" s="63" t="str">
        <f>=HYPERLINK(_xlfn.CONCAT("pzplus.tck.mn/db?type=",A137,"&amp;variant=no"),IF(D137&lt;&gt;0,D137,A137))</f>
        <v>五格分区</v>
      </c>
      <c r="F137" s="204">
        <v>5</v>
      </c>
      <c r="G137" s="204" t="s">
        <v>17</v>
      </c>
      <c r="H137" s="192" t="s"/>
      <c r="I137" s="193" t="s">
        <v>770</v>
      </c>
      <c r="J137" s="205">
        <f>=IF(LEN(I137)&gt;0,LEN(I137),"")</f>
        <v>33</v>
      </c>
      <c r="K137" s="62" t="s">
        <v>73</v>
      </c>
      <c r="L137" s="62" t="s">
        <v>74</v>
      </c>
      <c r="M137" s="373" t="s">
        <v>771</v>
      </c>
      <c r="N137" s="69">
        <v>2010</v>
      </c>
      <c r="O137" s="68" t="s">
        <v>93</v>
      </c>
    </row>
    <row r="138" spans="1:15">
      <c r="A138" s="59" t="s">
        <v>772</v>
      </c>
      <c r="B138" s="90">
        <v>1</v>
      </c>
      <c r="C138" s="604" t="s">
        <v>773</v>
      </c>
      <c r="D138" s="62" t="s">
        <v>774</v>
      </c>
      <c r="E138" s="63" t="str">
        <f>=HYPERLINK(_xlfn.CONCAT("pzplus.tck.mn/db?type=",A138,"&amp;variant=no"),IF(D138&lt;&gt;0,D138,A138))</f>
        <v>四格分区</v>
      </c>
      <c r="F138" s="204">
        <v>5</v>
      </c>
      <c r="G138" s="204" t="s">
        <v>17</v>
      </c>
      <c r="H138" s="192" t="s"/>
      <c r="I138" s="193" t="s">
        <v>775</v>
      </c>
      <c r="J138" s="205">
        <f>=IF(LEN(I138)&gt;0,LEN(I138),"")</f>
        <v>33</v>
      </c>
      <c r="K138" s="62" t="s">
        <v>73</v>
      </c>
      <c r="L138" s="74" t="s">
        <v>74</v>
      </c>
      <c r="M138" s="447" t="s">
        <v>776</v>
      </c>
      <c r="N138" s="69">
        <v>2010</v>
      </c>
      <c r="O138" s="68" t="s">
        <v>93</v>
      </c>
    </row>
    <row r="139" spans="1:15">
      <c r="A139" s="59" t="s">
        <v>777</v>
      </c>
      <c r="B139" s="90">
        <v>1</v>
      </c>
      <c r="C139" s="604" t="s">
        <v>778</v>
      </c>
      <c r="D139" s="62" t="s">
        <v>779</v>
      </c>
      <c r="E139" s="63" t="str">
        <f>=HYPERLINK(_xlfn.CONCAT("pzplus.tck.mn/db?type=",A139,"&amp;variant=no"),IF(D139&lt;&gt;0,D139,A139))</f>
        <v>码牌</v>
      </c>
      <c r="F139" s="204">
        <v>5</v>
      </c>
      <c r="G139" s="204" t="s">
        <v>17</v>
      </c>
      <c r="H139" s="192" t="s"/>
      <c r="I139" s="193" t="s">
        <v>780</v>
      </c>
      <c r="J139" s="206">
        <f>=IF(LEN(I139)&gt;0,LEN(I139),"")</f>
        <v>45</v>
      </c>
      <c r="K139" s="62" t="s">
        <v>73</v>
      </c>
      <c r="L139" s="74" t="s">
        <v>1531</v>
      </c>
      <c r="M139" s="89" t="s">
        <v>781</v>
      </c>
      <c r="N139" s="69">
        <v>1994</v>
      </c>
      <c r="O139" s="137" t="s">
        <v>76</v>
      </c>
    </row>
    <row r="140" spans="1:15">
      <c r="A140" s="59" t="s">
        <v>782</v>
      </c>
      <c r="B140" s="90">
        <v>1</v>
      </c>
      <c r="C140" s="604" t="s">
        <v>783</v>
      </c>
      <c r="D140" s="127" t="s">
        <v>784</v>
      </c>
      <c r="E140" s="63" t="str">
        <f>=HYPERLINK(_xlfn.CONCAT("pzplus.tck.mn/db?type=",A140,"&amp;variant=no"),IF(D140&lt;&gt;0,D140,A140))</f>
        <v>五格拼板</v>
      </c>
      <c r="F140" s="204">
        <v>5</v>
      </c>
      <c r="G140" s="204" t="s">
        <v>17</v>
      </c>
      <c r="H140" s="192" t="s"/>
      <c r="I140" s="193" t="s">
        <v>785</v>
      </c>
      <c r="J140" s="207">
        <f>=IF(LEN(I140)&gt;0,LEN(I140),"")</f>
        <v>46</v>
      </c>
      <c r="K140" s="127" t="s">
        <v>73</v>
      </c>
      <c r="L140" s="74" t="s">
        <v>1532</v>
      </c>
      <c r="M140" s="131" t="s">
        <v>215</v>
      </c>
      <c r="N140" s="103" t="s">
        <v>116</v>
      </c>
      <c r="O140" s="89" t="s">
        <v>94</v>
      </c>
    </row>
    <row r="141" spans="1:15">
      <c r="A141" s="59" t="s">
        <v>786</v>
      </c>
      <c r="B141" s="90">
        <v>1</v>
      </c>
      <c r="C141" s="604" t="s">
        <v>787</v>
      </c>
      <c r="D141" s="127" t="s">
        <v>788</v>
      </c>
      <c r="E141" s="63" t="str">
        <f>=HYPERLINK(_xlfn.CONCAT("pzplus.tck.mn/db?type=",A141,"&amp;variant=no"),IF(D141&lt;&gt;0,D141,A141))</f>
        <v>四格拼板</v>
      </c>
      <c r="F141" s="204">
        <v>5</v>
      </c>
      <c r="G141" s="204" t="s">
        <v>17</v>
      </c>
      <c r="H141" s="192" t="s"/>
      <c r="I141" s="193" t="s">
        <v>789</v>
      </c>
      <c r="J141" s="207">
        <f>=IF(LEN(I141)&gt;0,LEN(I141),"")</f>
        <v>46</v>
      </c>
      <c r="K141" s="62" t="s">
        <v>790</v>
      </c>
      <c r="L141" s="74" t="s">
        <v>1533</v>
      </c>
      <c r="M141" s="89" t="s"/>
      <c r="N141" s="76" t="s"/>
      <c r="O141" s="131" t="s"/>
    </row>
    <row r="142" spans="1:15">
      <c r="A142" s="59" t="s">
        <v>791</v>
      </c>
      <c r="B142" s="141">
        <v>0</v>
      </c>
      <c r="C142" s="604" t="s">
        <v>792</v>
      </c>
      <c r="D142" s="127" t="s">
        <v>793</v>
      </c>
      <c r="E142" s="63" t="str">
        <f>=HYPERLINK(_xlfn.CONCAT("pzplus.tck.mn/db?type=",A142,"&amp;variant=no"),IF(D142&lt;&gt;0,D142,A142))</f>
        <v>多米诺搜寻</v>
      </c>
      <c r="F142" s="204">
        <v>5</v>
      </c>
      <c r="G142" s="204" t="s">
        <v>17</v>
      </c>
      <c r="H142" s="192" t="s"/>
      <c r="I142" s="193" t="s">
        <v>794</v>
      </c>
      <c r="J142" s="332">
        <f>=IF(LEN(I142)&gt;0,LEN(I142),"")</f>
        <v>50</v>
      </c>
      <c r="K142" s="62" t="s">
        <v>73</v>
      </c>
      <c r="L142" s="74" t="s">
        <v>74</v>
      </c>
      <c r="M142" s="137" t="s"/>
      <c r="N142" s="76" t="s"/>
      <c r="O142" s="89" t="s"/>
    </row>
    <row r="143" spans="1:15">
      <c r="A143" s="59" t="s">
        <v>795</v>
      </c>
      <c r="B143" s="90">
        <v>1</v>
      </c>
      <c r="C143" s="604" t="s">
        <v>796</v>
      </c>
      <c r="D143" s="127" t="s">
        <v>797</v>
      </c>
      <c r="E143" s="63" t="str">
        <f>=HYPERLINK(_xlfn.CONCAT("pzplus.tck.mn/db?type=",A143,"&amp;variant=no"),IF(D143&lt;&gt;0,D143,A143))</f>
        <v>数方</v>
      </c>
      <c r="F143" s="204">
        <v>5</v>
      </c>
      <c r="G143" s="204" t="s">
        <v>17</v>
      </c>
      <c r="H143" s="192" t="s"/>
      <c r="I143" s="193" t="s">
        <v>798</v>
      </c>
      <c r="J143" s="333">
        <f>=IF(LEN(I143)&gt;0,LEN(I143),"")</f>
        <v>51</v>
      </c>
      <c r="K143" s="127" t="s">
        <v>73</v>
      </c>
      <c r="L143" s="74" t="s">
        <v>1534</v>
      </c>
      <c r="M143" s="131" t="s">
        <v>799</v>
      </c>
      <c r="N143" s="69">
        <v>1989</v>
      </c>
      <c r="O143" s="137" t="s">
        <v>76</v>
      </c>
    </row>
    <row r="144" spans="1:15">
      <c r="A144" s="59" t="s">
        <v>800</v>
      </c>
      <c r="B144" s="90">
        <v>1</v>
      </c>
      <c r="C144" s="604" t="s">
        <v>801</v>
      </c>
      <c r="D144" s="127" t="s">
        <v>802</v>
      </c>
      <c r="E144" s="63" t="str">
        <f>=HYPERLINK(_xlfn.CONCAT("pzplus.tck.mn/db?type=",A144,"&amp;variant=no"),IF(D144&lt;&gt;0,D144,A144))</f>
        <v>正方密铺</v>
      </c>
      <c r="F144" s="204">
        <v>5</v>
      </c>
      <c r="G144" s="204" t="s">
        <v>17</v>
      </c>
      <c r="H144" s="192" t="s"/>
      <c r="I144" s="193" t="s">
        <v>803</v>
      </c>
      <c r="J144" s="333">
        <f>=IF(LEN(I144)&gt;0,LEN(I144),"")</f>
        <v>51</v>
      </c>
      <c r="K144" s="127" t="s">
        <v>73</v>
      </c>
      <c r="L144" s="127" t="s">
        <v>74</v>
      </c>
      <c r="M144" s="89" t="s">
        <v>99</v>
      </c>
      <c r="N144" s="69">
        <v>2022</v>
      </c>
      <c r="O144" s="89" t="s">
        <v>94</v>
      </c>
    </row>
    <row r="145" spans="1:15">
      <c r="A145" s="59" t="s">
        <v>804</v>
      </c>
      <c r="B145" s="90">
        <v>1</v>
      </c>
      <c r="C145" s="604" t="s">
        <v>805</v>
      </c>
      <c r="D145" s="127" t="s">
        <v>806</v>
      </c>
      <c r="E145" s="63" t="str">
        <f>=HYPERLINK(_xlfn.CONCAT("pzplus.tck.mn/db?type=",A145,"&amp;variant=no"),IF(D145&lt;&gt;0,D145,A145))</f>
        <v>组合区块</v>
      </c>
      <c r="F145" s="204">
        <v>5</v>
      </c>
      <c r="G145" s="204" t="s">
        <v>17</v>
      </c>
      <c r="H145" s="192" t="s"/>
      <c r="I145" s="193" t="s">
        <v>807</v>
      </c>
      <c r="J145" s="334">
        <f>=IF(LEN(I145)&gt;0,LEN(I145),"")</f>
        <v>56</v>
      </c>
      <c r="K145" s="127" t="s">
        <v>115</v>
      </c>
      <c r="L145" s="130" t="s">
        <v>74</v>
      </c>
      <c r="M145" s="131" t="s"/>
      <c r="N145" s="76" t="s"/>
      <c r="O145" s="89" t="s"/>
    </row>
    <row r="146" spans="1:15">
      <c r="A146" s="62" t="s">
        <v>808</v>
      </c>
      <c r="B146" s="90">
        <v>1</v>
      </c>
      <c r="C146" s="604" t="s">
        <v>809</v>
      </c>
      <c r="D146" s="127" t="s">
        <v>810</v>
      </c>
      <c r="E146" s="63" t="str">
        <f>=HYPERLINK(_xlfn.CONCAT("pzplus.tck.mn/db?type=",A146,"&amp;variant=no"),IF(D146&lt;&gt;0,D146,A146))</f>
        <v>三格拼版</v>
      </c>
      <c r="F146" s="204">
        <v>5</v>
      </c>
      <c r="G146" s="204" t="s">
        <v>17</v>
      </c>
      <c r="H146" s="192" t="s"/>
      <c r="I146" s="193" t="s">
        <v>811</v>
      </c>
      <c r="J146" s="291">
        <f>=IF(LEN(I146)&gt;0,LEN(I146),"")</f>
        <v>57</v>
      </c>
      <c r="K146" s="127" t="s">
        <v>812</v>
      </c>
      <c r="L146" s="74" t="s">
        <v>1535</v>
      </c>
      <c r="M146" s="126" t="s">
        <v>81</v>
      </c>
      <c r="N146" s="69" t="s">
        <v>116</v>
      </c>
      <c r="O146" s="131" t="s">
        <v>94</v>
      </c>
    </row>
    <row r="147" spans="1:15">
      <c r="A147" s="59" t="s">
        <v>813</v>
      </c>
      <c r="B147" s="90">
        <v>1</v>
      </c>
      <c r="C147" s="604" t="s">
        <v>814</v>
      </c>
      <c r="D147" s="136" t="s">
        <v>815</v>
      </c>
      <c r="E147" s="63" t="str">
        <f>=HYPERLINK(_xlfn.CONCAT("pzplus.tck.mn/db?type=",A147,"&amp;variant=no"),IF(D147&lt;&gt;0,D147,A147))</f>
        <v>斜线分区</v>
      </c>
      <c r="F147" s="204">
        <v>5</v>
      </c>
      <c r="G147" s="204" t="s">
        <v>17</v>
      </c>
      <c r="H147" s="192" t="s"/>
      <c r="I147" s="193" t="s">
        <v>816</v>
      </c>
      <c r="J147" s="335">
        <f>=IF(LEN(I147)&gt;0,LEN(I147),"")</f>
        <v>58</v>
      </c>
      <c r="K147" s="62" t="s">
        <v>760</v>
      </c>
      <c r="L147" s="74" t="s">
        <v>74</v>
      </c>
      <c r="M147" s="447" t="s">
        <v>817</v>
      </c>
      <c r="N147" s="69">
        <v>2007</v>
      </c>
      <c r="O147" s="86" t="s">
        <v>94</v>
      </c>
    </row>
    <row r="148" spans="1:15">
      <c r="A148" s="59" t="s">
        <v>818</v>
      </c>
      <c r="B148" s="90">
        <v>1</v>
      </c>
      <c r="C148" s="604" t="s">
        <v>819</v>
      </c>
      <c r="D148" s="62" t="s">
        <v>820</v>
      </c>
      <c r="E148" s="63" t="str">
        <f>=HYPERLINK(_xlfn.CONCAT("pzplus.tck.mn/db?type=",A148,"&amp;variant=no"),IF(D148&lt;&gt;0,D148,A148))</f>
        <v>对称码牌</v>
      </c>
      <c r="F148" s="204">
        <v>5</v>
      </c>
      <c r="G148" s="204" t="s">
        <v>17</v>
      </c>
      <c r="H148" s="192" t="s"/>
      <c r="I148" s="193" t="s">
        <v>821</v>
      </c>
      <c r="J148" s="304">
        <f>=IF(LEN(I148)&gt;0,LEN(I148),"")</f>
        <v>62</v>
      </c>
      <c r="K148" s="62" t="s">
        <v>180</v>
      </c>
      <c r="L148" s="74" t="s">
        <v>74</v>
      </c>
      <c r="M148" s="161" t="s"/>
      <c r="N148" s="76" t="s"/>
      <c r="O148" s="137" t="s"/>
    </row>
    <row r="149" spans="1:15">
      <c r="A149" s="59" t="s">
        <v>822</v>
      </c>
      <c r="B149" s="70">
        <v>0.8</v>
      </c>
      <c r="C149" s="604" t="s">
        <v>823</v>
      </c>
      <c r="D149" s="127" t="s">
        <v>824</v>
      </c>
      <c r="E149" s="63" t="str">
        <f>=HYPERLINK(_xlfn.CONCAT("pzplus.tck.mn/db?type=",A149,"&amp;variant=no"),IF(D149&lt;&gt;0,D149,A149))</f>
        <v>无包含码牌</v>
      </c>
      <c r="F149" s="204">
        <v>5</v>
      </c>
      <c r="G149" s="204" t="s">
        <v>17</v>
      </c>
      <c r="H149" s="192" t="s"/>
      <c r="I149" s="193" t="s">
        <v>825</v>
      </c>
      <c r="J149" s="316">
        <f>=IF(LEN(I149)&gt;0,LEN(I149),"")</f>
        <v>65</v>
      </c>
      <c r="K149" s="127" t="s">
        <v>73</v>
      </c>
      <c r="L149" s="74" t="s">
        <v>1536</v>
      </c>
      <c r="M149" s="161" t="s"/>
      <c r="N149" s="76" t="s"/>
      <c r="O149" s="137" t="s"/>
    </row>
    <row r="150" spans="1:15">
      <c r="A150" s="59" t="s">
        <v>826</v>
      </c>
      <c r="B150" s="90">
        <v>1</v>
      </c>
      <c r="C150" s="604" t="s">
        <v>827</v>
      </c>
      <c r="D150" s="127" t="s">
        <v>828</v>
      </c>
      <c r="E150" s="63" t="str">
        <f>=HYPERLINK(_xlfn.CONCAT("pzplus.tck.mn/db?type=",A150,"&amp;variant=no"),IF(D150&lt;&gt;0,D150,A150))</f>
        <v>和障</v>
      </c>
      <c r="F150" s="204">
        <v>5</v>
      </c>
      <c r="G150" s="204" t="s">
        <v>17</v>
      </c>
      <c r="H150" s="192" t="s"/>
      <c r="I150" s="193" t="s">
        <v>829</v>
      </c>
      <c r="J150" s="324">
        <f>=IF(LEN(I150)&gt;0,LEN(I150),"")</f>
        <v>68</v>
      </c>
      <c r="K150" s="127" t="s">
        <v>73</v>
      </c>
      <c r="L150" s="74" t="s">
        <v>1537</v>
      </c>
      <c r="M150" s="599" t="s">
        <v>93</v>
      </c>
      <c r="N150" s="76" t="s"/>
      <c r="O150" s="137" t="s"/>
    </row>
    <row r="151" spans="1:15">
      <c r="A151" s="59" t="s">
        <v>830</v>
      </c>
      <c r="B151" s="90">
        <v>1</v>
      </c>
      <c r="C151" s="604" t="s">
        <v>831</v>
      </c>
      <c r="D151" s="136" t="s">
        <v>832</v>
      </c>
      <c r="E151" s="63" t="str">
        <f>=HYPERLINK(_xlfn.CONCAT("pzplus.tck.mn/db?type=",A151,"&amp;variant=no"),IF(D151&lt;&gt;0,D151,A151))</f>
        <v>快刀乱麻</v>
      </c>
      <c r="F151" s="204">
        <v>5</v>
      </c>
      <c r="G151" s="204" t="s">
        <v>17</v>
      </c>
      <c r="H151" s="192" t="s"/>
      <c r="I151" s="193" t="s">
        <v>833</v>
      </c>
      <c r="J151" s="308">
        <f>=IF(LEN(I151)&gt;0,LEN(I151),"")</f>
        <v>72</v>
      </c>
      <c r="K151" s="62" t="s">
        <v>73</v>
      </c>
      <c r="L151" s="61" t="s">
        <v>832</v>
      </c>
      <c r="M151" s="389" t="s">
        <v>296</v>
      </c>
      <c r="N151" s="103">
        <v>2008</v>
      </c>
      <c r="O151" s="101" t="s">
        <v>76</v>
      </c>
    </row>
    <row r="152" spans="1:15">
      <c r="A152" s="59" t="s">
        <v>834</v>
      </c>
      <c r="B152" s="90">
        <v>1</v>
      </c>
      <c r="C152" s="604" t="s">
        <v>835</v>
      </c>
      <c r="D152" s="98" t="s">
        <v>836</v>
      </c>
      <c r="E152" s="63" t="str">
        <f>=HYPERLINK(_xlfn.CONCAT("pzplus.tck.mn/db?type=",A152,"&amp;variant=no"),IF(D152&lt;&gt;0,D152,A152))</f>
        <v>星系</v>
      </c>
      <c r="F152" s="204">
        <v>5</v>
      </c>
      <c r="G152" s="204" t="s">
        <v>17</v>
      </c>
      <c r="H152" s="192" t="s"/>
      <c r="I152" s="193" t="s">
        <v>837</v>
      </c>
      <c r="J152" s="295">
        <f>=IF(LEN(I152)&gt;0,LEN(I152),"")</f>
        <v>73</v>
      </c>
      <c r="K152" s="62" t="s">
        <v>73</v>
      </c>
      <c r="L152" s="74" t="s">
        <v>74</v>
      </c>
      <c r="M152" s="548" t="s">
        <v>838</v>
      </c>
      <c r="N152" s="85">
        <v>2006</v>
      </c>
      <c r="O152" s="101" t="s">
        <v>76</v>
      </c>
    </row>
    <row r="153" spans="1:15">
      <c r="A153" s="59" t="s">
        <v>839</v>
      </c>
      <c r="B153" s="60">
        <v>1</v>
      </c>
      <c r="C153" s="604" t="s">
        <v>840</v>
      </c>
      <c r="D153" s="62" t="s">
        <v>841</v>
      </c>
      <c r="E153" s="63" t="str">
        <f>=HYPERLINK(_xlfn.CONCAT("pzplus.tck.mn/db?type=",A153,"&amp;variant=no"),IF(D153&lt;&gt;0,D153,A153))</f>
        <v>曲尺分割</v>
      </c>
      <c r="F153" s="204">
        <v>5</v>
      </c>
      <c r="G153" s="204" t="s">
        <v>17</v>
      </c>
      <c r="H153" s="192" t="s"/>
      <c r="I153" s="193" t="s">
        <v>842</v>
      </c>
      <c r="J153" s="309">
        <f>=IF(LEN(I153)&gt;0,LEN(I153),"")</f>
        <v>76</v>
      </c>
      <c r="K153" s="62" t="s">
        <v>73</v>
      </c>
      <c r="L153" s="61" t="s">
        <v>843</v>
      </c>
      <c r="M153" s="373" t="s">
        <v>651</v>
      </c>
      <c r="N153" s="103">
        <v>2011</v>
      </c>
      <c r="O153" s="68" t="s">
        <v>76</v>
      </c>
    </row>
    <row r="154" spans="1:15">
      <c r="A154" s="59" t="s">
        <v>844</v>
      </c>
      <c r="B154" s="90">
        <v>1</v>
      </c>
      <c r="C154" s="604" t="s">
        <v>845</v>
      </c>
      <c r="D154" s="62" t="s">
        <v>846</v>
      </c>
      <c r="E154" s="63" t="str">
        <f>=HYPERLINK(_xlfn.CONCAT("pzplus.tck.mn/db?type=",A154,"&amp;variant=no"),IF(D154&lt;&gt;0,D154,A154))</f>
        <v>炼狱</v>
      </c>
      <c r="F154" s="204">
        <v>5</v>
      </c>
      <c r="G154" s="204" t="s">
        <v>17</v>
      </c>
      <c r="H154" s="192" t="s"/>
      <c r="I154" s="193" t="s">
        <v>847</v>
      </c>
      <c r="J154" s="298">
        <f>=IF(LEN(I154)&gt;0,LEN(I154),"")</f>
        <v>77</v>
      </c>
      <c r="K154" s="62" t="s">
        <v>73</v>
      </c>
      <c r="L154" s="62" t="s">
        <v>1538</v>
      </c>
      <c r="M154" s="415" t="s">
        <v>848</v>
      </c>
      <c r="N154" s="69">
        <v>2007</v>
      </c>
      <c r="O154" s="148" t="s">
        <v>94</v>
      </c>
    </row>
    <row r="155" spans="1:15">
      <c r="A155" s="59" t="s">
        <v>849</v>
      </c>
      <c r="B155" s="60">
        <v>1</v>
      </c>
      <c r="C155" s="604" t="s">
        <v>850</v>
      </c>
      <c r="D155" s="62" t="s">
        <v>851</v>
      </c>
      <c r="E155" s="63" t="str">
        <f>=HYPERLINK(_xlfn.CONCAT("pzplus.tck.mn/db?type=",A155,"&amp;variant=no"),IF(D155&lt;&gt;0,D155,A155))</f>
        <v>镜像区块</v>
      </c>
      <c r="F155" s="204">
        <v>5</v>
      </c>
      <c r="G155" s="204" t="s">
        <v>17</v>
      </c>
      <c r="H155" s="192" t="s"/>
      <c r="I155" s="193" t="s">
        <v>852</v>
      </c>
      <c r="J155" s="298">
        <f>=IF(LEN(I155)&gt;0,LEN(I155),"")</f>
        <v>77</v>
      </c>
      <c r="K155" s="62" t="s">
        <v>115</v>
      </c>
      <c r="L155" s="62" t="s">
        <v>74</v>
      </c>
      <c r="M155" s="602" t="s">
        <v>93</v>
      </c>
      <c r="N155" s="69" t="s"/>
      <c r="O155" s="137" t="s"/>
    </row>
    <row r="156" spans="1:15">
      <c r="A156" s="59" t="s">
        <v>853</v>
      </c>
      <c r="B156" s="90">
        <v>1</v>
      </c>
      <c r="C156" s="604" t="s">
        <v>854</v>
      </c>
      <c r="D156" s="62" t="s">
        <v>855</v>
      </c>
      <c r="E156" s="63" t="str">
        <f>=HYPERLINK(_xlfn.CONCAT("pzplus.tck.mn/db?type=",A156,"&amp;variant=no"),IF(D156&lt;&gt;0,D156,A156))</f>
        <v>边界区块</v>
      </c>
      <c r="F156" s="204">
        <v>5</v>
      </c>
      <c r="G156" s="204" t="s">
        <v>17</v>
      </c>
      <c r="H156" s="192" t="s"/>
      <c r="I156" s="215" t="s">
        <v>856</v>
      </c>
      <c r="J156" s="325">
        <f>=IF(LEN(I156)&gt;0,LEN(I156),"")</f>
        <v>78</v>
      </c>
      <c r="K156" s="62" t="s">
        <v>109</v>
      </c>
      <c r="L156" s="74" t="s">
        <v>74</v>
      </c>
      <c r="M156" s="389" t="s">
        <v>857</v>
      </c>
      <c r="N156" s="69">
        <v>1994</v>
      </c>
      <c r="O156" s="101" t="s">
        <v>76</v>
      </c>
    </row>
    <row r="157" spans="1:15">
      <c r="A157" s="59" t="s">
        <v>858</v>
      </c>
      <c r="B157" s="90">
        <v>1</v>
      </c>
      <c r="C157" s="604" t="s">
        <v>859</v>
      </c>
      <c r="D157" s="62" t="s">
        <v>860</v>
      </c>
      <c r="E157" s="63" t="str">
        <f>=HYPERLINK(_xlfn.CONCAT("pzplus.tck.mn/db?type=",A157,"&amp;variant=no"),IF(D157&lt;&gt;0,D157,A157))</f>
        <v>异同分割</v>
      </c>
      <c r="F157" s="204">
        <v>5</v>
      </c>
      <c r="G157" s="204" t="s">
        <v>17</v>
      </c>
      <c r="H157" s="192" t="s"/>
      <c r="I157" s="193" t="s">
        <v>861</v>
      </c>
      <c r="J157" s="317">
        <f>=IF(LEN(I157)&gt;0,LEN(I157),"")</f>
        <v>79</v>
      </c>
      <c r="K157" s="62" t="s">
        <v>73</v>
      </c>
      <c r="L157" s="62" t="s">
        <v>1539</v>
      </c>
      <c r="M157" s="597" t="s">
        <v>862</v>
      </c>
      <c r="N157" s="69">
        <v>2002</v>
      </c>
      <c r="O157" s="86" t="s">
        <v>93</v>
      </c>
    </row>
    <row r="158" spans="1:15">
      <c r="A158" s="59" t="s">
        <v>863</v>
      </c>
      <c r="B158" s="90">
        <v>1</v>
      </c>
      <c r="C158" s="604" t="s">
        <v>864</v>
      </c>
      <c r="D158" s="62" t="s">
        <v>865</v>
      </c>
      <c r="E158" s="63" t="str">
        <f>=HYPERLINK(_xlfn.CONCAT("pzplus.tck.mn/db?type=",A158,"&amp;variant=no"),IF(D158&lt;&gt;0,D158,A158))</f>
        <v>双巧克力</v>
      </c>
      <c r="F158" s="204">
        <v>5</v>
      </c>
      <c r="G158" s="204" t="s">
        <v>17</v>
      </c>
      <c r="H158" s="192" t="s"/>
      <c r="I158" s="193" t="s">
        <v>866</v>
      </c>
      <c r="J158" s="195">
        <f>=IF(LEN(I158)&gt;0,LEN(I158),"")</f>
        <v>84</v>
      </c>
      <c r="K158" s="62" t="s">
        <v>73</v>
      </c>
      <c r="L158" s="98" t="s">
        <v>867</v>
      </c>
      <c r="M158" s="428" t="s">
        <v>93</v>
      </c>
      <c r="N158" s="76" t="s"/>
      <c r="O158" s="126" t="s"/>
    </row>
    <row r="159" spans="1:15">
      <c r="A159" s="62" t="s">
        <v>868</v>
      </c>
      <c r="B159" s="70">
        <v>0.8</v>
      </c>
      <c r="C159" s="604" t="s">
        <v>869</v>
      </c>
      <c r="D159" s="62" t="s">
        <v>870</v>
      </c>
      <c r="E159" s="63" t="str">
        <f>=HYPERLINK(_xlfn.CONCAT("pzplus.tck.mn/db?type=",A159,"&amp;variant=no"),IF(D159&lt;&gt;0,D159,A159))</f>
        <v>宫城县仙台市</v>
      </c>
      <c r="F159" s="204">
        <v>5</v>
      </c>
      <c r="G159" s="204" t="s">
        <v>17</v>
      </c>
      <c r="H159" s="192" t="s"/>
      <c r="I159" s="193" t="s">
        <v>871</v>
      </c>
      <c r="J159" s="170">
        <f>=IF(LEN(I159)&gt;0,LEN(I159),"")</f>
        <v>86</v>
      </c>
      <c r="K159" s="62" t="s">
        <v>202</v>
      </c>
      <c r="L159" s="61" t="s">
        <v>872</v>
      </c>
      <c r="M159" s="373" t="s">
        <v>578</v>
      </c>
      <c r="N159" s="69">
        <v>2003</v>
      </c>
      <c r="O159" s="68" t="s">
        <v>93</v>
      </c>
    </row>
    <row r="160" spans="1:15">
      <c r="A160" s="59" t="s">
        <v>873</v>
      </c>
      <c r="B160" s="90">
        <v>1</v>
      </c>
      <c r="C160" s="604" t="s">
        <v>874</v>
      </c>
      <c r="D160" s="98" t="s">
        <v>875</v>
      </c>
      <c r="E160" s="63" t="str">
        <f>=HYPERLINK(_xlfn.CONCAT("pzplus.tck.mn/db?type=",A160,"&amp;variant=no"),IF(D160&lt;&gt;0,D160,A160))</f>
        <v>长宽度量</v>
      </c>
      <c r="F160" s="204">
        <v>5</v>
      </c>
      <c r="G160" s="204" t="s">
        <v>17</v>
      </c>
      <c r="H160" s="192" t="s"/>
      <c r="I160" s="193" t="s">
        <v>876</v>
      </c>
      <c r="J160" s="142">
        <f>=IF(LEN(I160)&gt;0,LEN(I160),"")</f>
        <v>88</v>
      </c>
      <c r="K160" s="62" t="s">
        <v>73</v>
      </c>
      <c r="L160" s="74" t="s">
        <v>1540</v>
      </c>
      <c r="M160" s="373" t="s">
        <v>877</v>
      </c>
      <c r="N160" s="69">
        <v>2021</v>
      </c>
      <c r="O160" s="68" t="s">
        <v>94</v>
      </c>
    </row>
    <row r="161" spans="1:15">
      <c r="A161" s="59" t="s">
        <v>878</v>
      </c>
      <c r="B161" s="90">
        <v>1</v>
      </c>
      <c r="C161" s="604" t="s">
        <v>879</v>
      </c>
      <c r="D161" s="62" t="s">
        <v>880</v>
      </c>
      <c r="E161" s="63" t="str">
        <f>=HYPERLINK(_xlfn.CONCAT("pzplus.tck.mn/db?type=",A161,"&amp;variant=no"),IF(D161&lt;&gt;0,D161,A161))</f>
        <v>拉巴斯</v>
      </c>
      <c r="F161" s="204">
        <v>5</v>
      </c>
      <c r="G161" s="204" t="s">
        <v>17</v>
      </c>
      <c r="H161" s="192" t="s"/>
      <c r="I161" s="193" t="s">
        <v>881</v>
      </c>
      <c r="J161" s="106">
        <f>=IF(LEN(I161)&gt;0,LEN(I161),"")</f>
        <v>94</v>
      </c>
      <c r="K161" s="62" t="s">
        <v>202</v>
      </c>
      <c r="L161" s="74" t="s">
        <v>74</v>
      </c>
      <c r="M161" s="447" t="s">
        <v>882</v>
      </c>
      <c r="N161" s="76" t="s"/>
      <c r="O161" s="68" t="s">
        <v>94</v>
      </c>
    </row>
    <row r="162" spans="1:15">
      <c r="A162" s="59" t="s">
        <v>883</v>
      </c>
      <c r="B162" s="90">
        <v>1</v>
      </c>
      <c r="C162" s="604" t="s">
        <v>884</v>
      </c>
      <c r="D162" s="98" t="s">
        <v>885</v>
      </c>
      <c r="E162" s="63" t="str">
        <f>=HYPERLINK(_xlfn.CONCAT("pzplus.tck.mn/db?type=",A162,"&amp;variant=no"),IF(D162&lt;&gt;0,D162,A162))</f>
        <v>榻榻米</v>
      </c>
      <c r="F162" s="204">
        <v>5</v>
      </c>
      <c r="G162" s="204" t="s">
        <v>17</v>
      </c>
      <c r="H162" s="192" t="s"/>
      <c r="I162" s="193" t="s">
        <v>886</v>
      </c>
      <c r="J162" s="108">
        <f>=IF(LEN(I162)&gt;0,LEN(I162),"")</f>
        <v>95</v>
      </c>
      <c r="K162" s="62" t="s">
        <v>73</v>
      </c>
      <c r="L162" s="62" t="s">
        <v>1541</v>
      </c>
      <c r="M162" s="373" t="s">
        <v>887</v>
      </c>
      <c r="N162" s="69">
        <v>2004</v>
      </c>
      <c r="O162" s="148" t="s">
        <v>76</v>
      </c>
    </row>
    <row r="163" spans="1:15">
      <c r="A163" s="62" t="s">
        <v>888</v>
      </c>
      <c r="B163" s="70">
        <v>0.8</v>
      </c>
      <c r="C163" s="604" t="s">
        <v>889</v>
      </c>
      <c r="D163" s="72" t="s"/>
      <c r="E163" s="63" t="str">
        <f>=HYPERLINK(_xlfn.CONCAT("pzplus.tck.mn/db?type=",A163,"&amp;variant=no"),IF(D163&lt;&gt;0,D163,A163))</f>
        <v>narrow</v>
      </c>
      <c r="F163" s="204">
        <v>5</v>
      </c>
      <c r="G163" s="204" t="s">
        <v>17</v>
      </c>
      <c r="H163" s="192" t="s"/>
      <c r="I163" s="193" t="s">
        <v>890</v>
      </c>
      <c r="J163" s="329">
        <f>=IF(LEN(I163)&gt;0,LEN(I163),"")</f>
        <v>101</v>
      </c>
      <c r="K163" s="62" t="s">
        <v>202</v>
      </c>
      <c r="L163" s="98" t="s">
        <v>1542</v>
      </c>
      <c r="M163" s="373" t="s">
        <v>877</v>
      </c>
      <c r="N163" s="69" t="s">
        <v>116</v>
      </c>
      <c r="O163" s="68" t="s">
        <v>82</v>
      </c>
    </row>
    <row r="164" spans="1:15">
      <c r="A164" s="59" t="s">
        <v>891</v>
      </c>
      <c r="B164" s="90">
        <v>1</v>
      </c>
      <c r="C164" s="604" t="s">
        <v>892</v>
      </c>
      <c r="D164" s="62" t="s">
        <v>893</v>
      </c>
      <c r="E164" s="63" t="str">
        <f>=HYPERLINK(_xlfn.CONCAT("pzplus.tck.mn/db?type=",A164,"&amp;variant=no"),IF(D164&lt;&gt;0,D164,A164))</f>
        <v>蛇窝</v>
      </c>
      <c r="F164" s="204">
        <v>5</v>
      </c>
      <c r="G164" s="204" t="s">
        <v>17</v>
      </c>
      <c r="H164" s="192" t="s"/>
      <c r="I164" s="193" t="s">
        <v>894</v>
      </c>
      <c r="J164" s="216">
        <f>=IF(LEN(I164)&gt;0,LEN(I164),"")</f>
        <v>106</v>
      </c>
      <c r="K164" s="62" t="s">
        <v>73</v>
      </c>
      <c r="L164" s="62" t="s">
        <v>74</v>
      </c>
      <c r="M164" s="373" t="s">
        <v>895</v>
      </c>
      <c r="N164" s="103">
        <v>2016</v>
      </c>
      <c r="O164" s="68" t="s">
        <v>94</v>
      </c>
    </row>
    <row r="165" spans="1:15">
      <c r="A165" s="59" t="s">
        <v>896</v>
      </c>
      <c r="B165" s="90">
        <v>1</v>
      </c>
      <c r="C165" s="604" t="s">
        <v>897</v>
      </c>
      <c r="D165" s="98" t="s">
        <v>898</v>
      </c>
      <c r="E165" s="63" t="str">
        <f>=HYPERLINK(_xlfn.CONCAT("pzplus.tck.mn/db?type=",A165,"&amp;variant=no"),IF(D165&lt;&gt;0,D165,A165))</f>
        <v>指南针</v>
      </c>
      <c r="F165" s="204">
        <v>5</v>
      </c>
      <c r="G165" s="204" t="s">
        <v>17</v>
      </c>
      <c r="H165" s="192" t="s"/>
      <c r="I165" s="215" t="s">
        <v>899</v>
      </c>
      <c r="J165" s="178">
        <f>=IF(LEN(I165)&gt;0,LEN(I165),"")</f>
        <v>114</v>
      </c>
      <c r="K165" s="62" t="s">
        <v>73</v>
      </c>
      <c r="L165" s="74" t="s">
        <v>74</v>
      </c>
      <c r="M165" s="373" t="s">
        <v>900</v>
      </c>
      <c r="N165" s="202">
        <v>2013</v>
      </c>
      <c r="O165" s="68" t="s">
        <v>94</v>
      </c>
    </row>
    <row r="166" spans="1:15">
      <c r="A166" s="62" t="s">
        <v>901</v>
      </c>
      <c r="B166" s="90">
        <v>1</v>
      </c>
      <c r="C166" s="604" t="s">
        <v>902</v>
      </c>
      <c r="D166" s="98" t="s">
        <v>903</v>
      </c>
      <c r="E166" s="63" t="str">
        <f>=HYPERLINK(_xlfn.CONCAT("pzplus.tck.mn/db?type=",A166,"&amp;variant=no"),IF(D166&lt;&gt;0,D166,A166))</f>
        <v>逢三变傻</v>
      </c>
      <c r="F166" s="204">
        <v>5</v>
      </c>
      <c r="G166" s="204" t="s">
        <v>17</v>
      </c>
      <c r="H166" s="192" t="s"/>
      <c r="I166" s="193" t="s">
        <v>904</v>
      </c>
      <c r="J166" s="217">
        <f>=IF(LEN(I166)&gt;0,LEN(I166),"")</f>
        <v>122</v>
      </c>
      <c r="K166" s="62" t="s">
        <v>104</v>
      </c>
      <c r="L166" s="74" t="s">
        <v>1543</v>
      </c>
      <c r="M166" s="389" t="s">
        <v>75</v>
      </c>
      <c r="N166" s="76" t="s"/>
      <c r="O166" s="68" t="s">
        <v>82</v>
      </c>
    </row>
    <row r="167" spans="1:15">
      <c r="A167" s="59" t="s">
        <v>905</v>
      </c>
      <c r="B167" s="90">
        <v>1</v>
      </c>
      <c r="C167" s="604" t="s">
        <v>906</v>
      </c>
      <c r="D167" s="98" t="s">
        <v>907</v>
      </c>
      <c r="E167" s="63" t="str">
        <f>=HYPERLINK(_xlfn.CONCAT("pzplus.tck.mn/db?type=",A167,"&amp;variant=no"),IF(D167&lt;&gt;0,D167,A167))</f>
        <v>二三分割</v>
      </c>
      <c r="F167" s="204">
        <v>5</v>
      </c>
      <c r="G167" s="204" t="s">
        <v>17</v>
      </c>
      <c r="H167" s="192" t="s"/>
      <c r="I167" s="193" t="s">
        <v>908</v>
      </c>
      <c r="J167" s="218">
        <f>=IF(LEN(I167)&gt;0,LEN(I167),"")</f>
        <v>141</v>
      </c>
      <c r="K167" s="62" t="s">
        <v>73</v>
      </c>
      <c r="L167" s="98" t="s">
        <v>909</v>
      </c>
      <c r="M167" s="373" t="s">
        <v>99</v>
      </c>
      <c r="N167" s="69" t="s">
        <v>116</v>
      </c>
      <c r="O167" s="68" t="s">
        <v>94</v>
      </c>
    </row>
    <row r="168" spans="1:15">
      <c r="A168" s="59" t="s">
        <v>910</v>
      </c>
      <c r="B168" s="70">
        <v>0.8</v>
      </c>
      <c r="C168" s="604" t="s">
        <v>911</v>
      </c>
      <c r="D168" s="62" t="s">
        <v>912</v>
      </c>
      <c r="E168" s="63" t="str">
        <f>=HYPERLINK(_xlfn.CONCAT("pzplus.tck.mn/db?type=",A168,"&amp;variant=no"),IF(D168&lt;&gt;0,D168,A168))</f>
        <v>重点</v>
      </c>
      <c r="F168" s="204">
        <v>5</v>
      </c>
      <c r="G168" s="204" t="s">
        <v>17</v>
      </c>
      <c r="H168" s="192" t="s"/>
      <c r="I168" s="193" t="s">
        <v>913</v>
      </c>
      <c r="J168" s="203">
        <f>=IF(LEN(I168)&gt;0,LEN(I168),"")</f>
        <v>153</v>
      </c>
      <c r="K168" s="62" t="s">
        <v>73</v>
      </c>
      <c r="L168" s="62" t="s">
        <v>74</v>
      </c>
      <c r="M168" s="373" t="s">
        <v>134</v>
      </c>
      <c r="N168" s="69" t="s">
        <v>116</v>
      </c>
      <c r="O168" s="68" t="s">
        <v>82</v>
      </c>
    </row>
    <row r="169" spans="1:15">
      <c r="A169" s="59" t="s">
        <v>914</v>
      </c>
      <c r="B169" s="90">
        <v>1</v>
      </c>
      <c r="C169" s="604" t="s">
        <v>915</v>
      </c>
      <c r="D169" s="62" t="s">
        <v>916</v>
      </c>
      <c r="E169" s="63" t="str">
        <f>=HYPERLINK(_xlfn.CONCAT("pzplus.tck.mn/db?type=",A169,"&amp;variant=no"),IF(D169&lt;&gt;0,D169,A169))</f>
        <v>数回</v>
      </c>
      <c r="F169" s="219">
        <v>6</v>
      </c>
      <c r="G169" s="219" t="s">
        <v>917</v>
      </c>
      <c r="H169" s="192" t="s"/>
      <c r="I169" s="193" t="s">
        <v>918</v>
      </c>
      <c r="J169" s="220">
        <f>=IF(LEN(I169)&gt;0,LEN(I169),"")</f>
        <v>34</v>
      </c>
      <c r="K169" s="62" t="s">
        <v>390</v>
      </c>
      <c r="L169" s="74" t="s">
        <v>1544</v>
      </c>
      <c r="M169" s="373" t="s">
        <v>919</v>
      </c>
      <c r="N169" s="69">
        <v>1989</v>
      </c>
      <c r="O169" s="68" t="s">
        <v>76</v>
      </c>
    </row>
    <row r="170" spans="1:15">
      <c r="A170" s="59" t="s">
        <v>920</v>
      </c>
      <c r="B170" s="90">
        <v>1</v>
      </c>
      <c r="C170" s="604" t="s">
        <v>921</v>
      </c>
      <c r="D170" s="62" t="s">
        <v>922</v>
      </c>
      <c r="E170" s="63" t="str">
        <f>=HYPERLINK(_xlfn.CONCAT("pzplus.tck.mn/db?type=",A170,"&amp;variant=no"),IF(D170&lt;&gt;0,D170,A170))</f>
        <v>近视回路</v>
      </c>
      <c r="F170" s="219">
        <v>6</v>
      </c>
      <c r="G170" s="219" t="s">
        <v>917</v>
      </c>
      <c r="H170" s="192" t="s"/>
      <c r="I170" s="193" t="s">
        <v>923</v>
      </c>
      <c r="J170" s="67">
        <f>=IF(LEN(I170)&gt;0,LEN(I170),"")</f>
        <v>41</v>
      </c>
      <c r="K170" s="62" t="s">
        <v>390</v>
      </c>
      <c r="L170" s="74" t="s">
        <v>74</v>
      </c>
      <c r="M170" s="389" t="s">
        <v>924</v>
      </c>
      <c r="N170" s="103">
        <v>2009</v>
      </c>
      <c r="O170" s="68" t="s">
        <v>94</v>
      </c>
    </row>
    <row r="171" spans="1:15">
      <c r="A171" s="62" t="s">
        <v>925</v>
      </c>
      <c r="B171" s="60">
        <v>1</v>
      </c>
      <c r="C171" s="604" t="s">
        <v>926</v>
      </c>
      <c r="D171" s="62" t="s">
        <v>927</v>
      </c>
      <c r="E171" s="63" t="str">
        <f>=HYPERLINK(_xlfn.CONCAT("pzplus.tck.mn/db?type=",A171,"&amp;variant=no"),IF(D171&lt;&gt;0,D171,A171))</f>
        <v>羊圈数回</v>
      </c>
      <c r="F171" s="219">
        <v>6</v>
      </c>
      <c r="G171" s="219" t="s">
        <v>917</v>
      </c>
      <c r="H171" s="192" t="s"/>
      <c r="I171" s="215" t="s">
        <v>928</v>
      </c>
      <c r="J171" s="332">
        <f>=IF(LEN(I171)&gt;0,LEN(I171),"")</f>
        <v>50</v>
      </c>
      <c r="K171" s="62" t="s">
        <v>148</v>
      </c>
      <c r="L171" s="62" t="s">
        <v>929</v>
      </c>
      <c r="M171" s="373" t="s">
        <v>930</v>
      </c>
      <c r="N171" s="69">
        <v>2008</v>
      </c>
      <c r="O171" s="101" t="s">
        <v>308</v>
      </c>
    </row>
    <row r="172" spans="1:15">
      <c r="A172" s="59" t="s">
        <v>931</v>
      </c>
      <c r="B172" s="90">
        <v>1</v>
      </c>
      <c r="C172" s="604" t="s">
        <v>932</v>
      </c>
      <c r="D172" s="98" t="s">
        <v>933</v>
      </c>
      <c r="E172" s="63" t="str">
        <f>=HYPERLINK(_xlfn.CONCAT("pzplus.tck.mn/db?type=",A172,"&amp;variant=no"),IF(D172&lt;&gt;0,D172,A172))</f>
        <v>黑白配</v>
      </c>
      <c r="F172" s="219">
        <v>6</v>
      </c>
      <c r="G172" s="219" t="s">
        <v>934</v>
      </c>
      <c r="H172" s="192" t="s"/>
      <c r="I172" s="215" t="s">
        <v>935</v>
      </c>
      <c r="J172" s="333">
        <f>=IF(LEN(I172)&gt;0,LEN(I172),"")</f>
        <v>51</v>
      </c>
      <c r="K172" s="62" t="s">
        <v>73</v>
      </c>
      <c r="L172" s="98" t="s">
        <v>1545</v>
      </c>
      <c r="M172" s="415" t="s">
        <v>936</v>
      </c>
      <c r="N172" s="69">
        <v>1993</v>
      </c>
      <c r="O172" s="148" t="s">
        <v>93</v>
      </c>
    </row>
    <row r="173" spans="1:15">
      <c r="A173" s="59" t="s">
        <v>937</v>
      </c>
      <c r="B173" s="60">
        <v>1</v>
      </c>
      <c r="C173" s="604" t="s">
        <v>938</v>
      </c>
      <c r="D173" s="98" t="s">
        <v>939</v>
      </c>
      <c r="E173" s="63" t="str">
        <f>=HYPERLINK(_xlfn.CONCAT("pzplus.tck.mn/db?type=",A173,"&amp;variant=no"),IF(D173&lt;&gt;0,D173,A173))</f>
        <v>数连</v>
      </c>
      <c r="F173" s="219">
        <v>6</v>
      </c>
      <c r="G173" s="219" t="s">
        <v>934</v>
      </c>
      <c r="H173" s="192" t="s"/>
      <c r="I173" s="193" t="s">
        <v>940</v>
      </c>
      <c r="J173" s="337">
        <f>=IF(LEN(I173)&gt;0,LEN(I173),"")</f>
        <v>59</v>
      </c>
      <c r="K173" s="62" t="s">
        <v>73</v>
      </c>
      <c r="L173" s="98" t="s">
        <v>1546</v>
      </c>
      <c r="M173" s="599" t="s">
        <v>93</v>
      </c>
      <c r="N173" s="69" t="s"/>
      <c r="O173" s="86" t="s">
        <v>941</v>
      </c>
    </row>
    <row r="174" spans="1:15">
      <c r="A174" s="59" t="s">
        <v>942</v>
      </c>
      <c r="B174" s="90">
        <v>1</v>
      </c>
      <c r="C174" s="604" t="s">
        <v>943</v>
      </c>
      <c r="D174" s="62" t="s">
        <v>944</v>
      </c>
      <c r="E174" s="63" t="str">
        <f>=HYPERLINK(_xlfn.CONCAT("pzplus.tck.mn/db?type=",A174,"&amp;variant=no"),IF(D174&lt;&gt;0,D174,A174))</f>
        <v>中点回路</v>
      </c>
      <c r="F174" s="219">
        <v>6</v>
      </c>
      <c r="G174" s="219" t="s">
        <v>917</v>
      </c>
      <c r="H174" s="192" t="s"/>
      <c r="I174" s="193" t="s">
        <v>945</v>
      </c>
      <c r="J174" s="303">
        <f>=IF(LEN(I174)&gt;0,LEN(I174),"")</f>
        <v>60</v>
      </c>
      <c r="K174" s="62" t="s">
        <v>73</v>
      </c>
      <c r="L174" s="62" t="s">
        <v>1547</v>
      </c>
      <c r="M174" s="131" t="s"/>
      <c r="N174" s="208" t="s"/>
      <c r="O174" s="89" t="s"/>
    </row>
    <row r="175" spans="1:15">
      <c r="A175" s="59" t="s">
        <v>946</v>
      </c>
      <c r="B175" s="90">
        <v>1</v>
      </c>
      <c r="C175" s="604" t="s">
        <v>947</v>
      </c>
      <c r="D175" s="127" t="s">
        <v>948</v>
      </c>
      <c r="E175" s="63" t="str">
        <f>=HYPERLINK(_xlfn.CONCAT("pzplus.tck.mn/db?type=",A175,"&amp;variant=no"),IF(D175&lt;&gt;0,D175,A175))</f>
        <v>直线回路</v>
      </c>
      <c r="F175" s="219">
        <v>6</v>
      </c>
      <c r="G175" s="219" t="s">
        <v>917</v>
      </c>
      <c r="H175" s="192" t="s"/>
      <c r="I175" s="193" t="s">
        <v>949</v>
      </c>
      <c r="J175" s="316">
        <f>=IF(LEN(I175)&gt;0,LEN(I175),"")</f>
        <v>65</v>
      </c>
      <c r="K175" s="127" t="s">
        <v>73</v>
      </c>
      <c r="L175" s="74" t="s">
        <v>1548</v>
      </c>
      <c r="M175" s="89" t="s">
        <v>950</v>
      </c>
      <c r="N175" s="69">
        <v>2013</v>
      </c>
      <c r="O175" s="131" t="s">
        <v>94</v>
      </c>
    </row>
    <row r="176" spans="1:15">
      <c r="A176" s="59" t="s">
        <v>951</v>
      </c>
      <c r="B176" s="70">
        <v>0.8</v>
      </c>
      <c r="C176" s="604" t="s">
        <v>952</v>
      </c>
      <c r="D176" s="136" t="s">
        <v>953</v>
      </c>
      <c r="E176" s="63" t="str">
        <f>=HYPERLINK(_xlfn.CONCAT("pzplus.tck.mn/db?type=",A176,"&amp;variant=no"),IF(D176&lt;&gt;0,D176,A176))</f>
        <v>视线</v>
      </c>
      <c r="F176" s="219">
        <v>6</v>
      </c>
      <c r="G176" s="219" t="s">
        <v>917</v>
      </c>
      <c r="H176" s="192" t="s"/>
      <c r="I176" s="215" t="s">
        <v>954</v>
      </c>
      <c r="J176" s="305">
        <f>=IF(LEN(I176)&gt;0,LEN(I176),"")</f>
        <v>66</v>
      </c>
      <c r="K176" s="62" t="s">
        <v>390</v>
      </c>
      <c r="L176" s="74" t="s">
        <v>74</v>
      </c>
      <c r="M176" s="389" t="s">
        <v>81</v>
      </c>
      <c r="N176" s="69" t="s">
        <v>116</v>
      </c>
      <c r="O176" s="68" t="s">
        <v>94</v>
      </c>
    </row>
    <row r="177" spans="1:15">
      <c r="A177" s="59" t="s">
        <v>955</v>
      </c>
      <c r="B177" s="90">
        <v>1</v>
      </c>
      <c r="C177" s="604" t="s">
        <v>956</v>
      </c>
      <c r="D177" s="72" t="s"/>
      <c r="E177" s="63" t="str">
        <f>=HYPERLINK(_xlfn.CONCAT("pzplus.tck.mn/db?type=",A177,"&amp;variant=no"),IF(D177&lt;&gt;0,D177,A177))</f>
        <v>nanameguri</v>
      </c>
      <c r="F177" s="219">
        <v>6</v>
      </c>
      <c r="G177" s="219" t="s">
        <v>917</v>
      </c>
      <c r="H177" s="192" t="s"/>
      <c r="I177" s="215" t="s">
        <v>957</v>
      </c>
      <c r="J177" s="324">
        <f>=IF(LEN(I177)&gt;0,LEN(I177),"")</f>
        <v>68</v>
      </c>
      <c r="K177" s="62" t="s">
        <v>202</v>
      </c>
      <c r="L177" s="62" t="s">
        <v>1549</v>
      </c>
      <c r="M177" s="131" t="s"/>
      <c r="N177" s="76" t="s"/>
      <c r="O177" s="89" t="s"/>
    </row>
    <row r="178" spans="1:15">
      <c r="A178" s="59" t="s">
        <v>958</v>
      </c>
      <c r="B178" s="90">
        <v>1</v>
      </c>
      <c r="C178" s="604" t="s">
        <v>959</v>
      </c>
      <c r="D178" s="62" t="s">
        <v>960</v>
      </c>
      <c r="E178" s="63" t="str">
        <f>=HYPERLINK(_xlfn.CONCAT("pzplus.tck.mn/db?type=",A178,"&amp;variant=no"),IF(D178&lt;&gt;0,D178,A178))</f>
        <v>四风</v>
      </c>
      <c r="F178" s="219">
        <v>6</v>
      </c>
      <c r="G178" s="219" t="s">
        <v>934</v>
      </c>
      <c r="H178" s="192" t="s"/>
      <c r="I178" s="215" t="s">
        <v>961</v>
      </c>
      <c r="J178" s="307">
        <f>=IF(LEN(I178)&gt;0,LEN(I178),"")</f>
        <v>71</v>
      </c>
      <c r="K178" s="62" t="s">
        <v>390</v>
      </c>
      <c r="L178" s="74" t="s">
        <v>74</v>
      </c>
      <c r="M178" s="89" t="s"/>
      <c r="N178" s="76" t="s"/>
      <c r="O178" s="89" t="s"/>
    </row>
    <row r="179" spans="1:15">
      <c r="A179" s="59" t="s">
        <v>962</v>
      </c>
      <c r="B179" s="90">
        <v>1</v>
      </c>
      <c r="C179" s="604" t="s">
        <v>963</v>
      </c>
      <c r="D179" s="136" t="s">
        <v>964</v>
      </c>
      <c r="E179" s="63" t="str">
        <f>=HYPERLINK(_xlfn.CONCAT("pzplus.tck.mn/db?type=",A179,"&amp;variant=no"),IF(D179&lt;&gt;0,D179,A179))</f>
        <v>数桥</v>
      </c>
      <c r="F179" s="219">
        <v>6</v>
      </c>
      <c r="G179" s="219" t="s">
        <v>934</v>
      </c>
      <c r="H179" s="192" t="s"/>
      <c r="I179" s="193" t="s">
        <v>965</v>
      </c>
      <c r="J179" s="298">
        <f>=IF(LEN(I179)&gt;0,LEN(I179),"")</f>
        <v>77</v>
      </c>
      <c r="K179" s="127" t="s">
        <v>73</v>
      </c>
      <c r="L179" s="62" t="s">
        <v>1550</v>
      </c>
      <c r="M179" s="137" t="s">
        <v>966</v>
      </c>
      <c r="N179" s="69">
        <v>1990</v>
      </c>
      <c r="O179" s="89" t="s">
        <v>76</v>
      </c>
    </row>
    <row r="180" spans="1:15">
      <c r="A180" s="59" t="s">
        <v>967</v>
      </c>
      <c r="B180" s="90">
        <v>1</v>
      </c>
      <c r="C180" s="604" t="s">
        <v>968</v>
      </c>
      <c r="D180" s="127" t="s">
        <v>969</v>
      </c>
      <c r="E180" s="63" t="str">
        <f>=HYPERLINK(_xlfn.CONCAT("pzplus.tck.mn/db?type=",A180,"&amp;variant=no"),IF(D180&lt;&gt;0,D180,A180))</f>
        <v>水面行者</v>
      </c>
      <c r="F180" s="219">
        <v>6</v>
      </c>
      <c r="G180" s="219" t="s">
        <v>917</v>
      </c>
      <c r="H180" s="192" t="s"/>
      <c r="I180" s="193" t="s">
        <v>970</v>
      </c>
      <c r="J180" s="300">
        <f>=IF(LEN(I180)&gt;0,LEN(I180),"")</f>
        <v>80</v>
      </c>
      <c r="K180" s="127" t="s">
        <v>109</v>
      </c>
      <c r="L180" s="130" t="s">
        <v>74</v>
      </c>
      <c r="M180" s="89" t="s">
        <v>971</v>
      </c>
      <c r="N180" s="69">
        <v>2023</v>
      </c>
      <c r="O180" s="137" t="s">
        <v>94</v>
      </c>
    </row>
    <row r="181" spans="1:15">
      <c r="A181" s="59" t="s">
        <v>972</v>
      </c>
      <c r="B181" s="60">
        <v>1</v>
      </c>
      <c r="C181" s="604" t="s">
        <v>973</v>
      </c>
      <c r="D181" s="127" t="s">
        <v>974</v>
      </c>
      <c r="E181" s="63" t="str">
        <f>=HYPERLINK(_xlfn.CONCAT("pzplus.tck.mn/db?type=",A181,"&amp;variant=no"),IF(D181&lt;&gt;0,D181,A181))</f>
        <v>咖啡牛奶</v>
      </c>
      <c r="F181" s="219">
        <v>6</v>
      </c>
      <c r="G181" s="219" t="s">
        <v>934</v>
      </c>
      <c r="H181" s="192" t="s"/>
      <c r="I181" s="215" t="s">
        <v>975</v>
      </c>
      <c r="J181" s="338">
        <f>=IF(LEN(I181)&gt;0,LEN(I181),"")</f>
        <v>81</v>
      </c>
      <c r="K181" s="62" t="s">
        <v>365</v>
      </c>
      <c r="L181" s="71" t="s">
        <v>74</v>
      </c>
      <c r="M181" s="131" t="s">
        <v>515</v>
      </c>
      <c r="N181" s="103">
        <v>2016</v>
      </c>
      <c r="O181" s="131" t="s">
        <v>82</v>
      </c>
    </row>
    <row r="182" spans="1:15">
      <c r="A182" s="59" t="s">
        <v>976</v>
      </c>
      <c r="B182" s="60">
        <v>1</v>
      </c>
      <c r="C182" s="604" t="s">
        <v>977</v>
      </c>
      <c r="D182" s="127" t="s">
        <v>978</v>
      </c>
      <c r="E182" s="63" t="str">
        <f>=HYPERLINK(_xlfn.CONCAT("pzplus.tck.mn/db?type=",A182,"&amp;variant=no"),IF(D182&lt;&gt;0,D182,A182))</f>
        <v>二择回路</v>
      </c>
      <c r="F182" s="219">
        <v>6</v>
      </c>
      <c r="G182" s="219" t="s">
        <v>917</v>
      </c>
      <c r="H182" s="192" t="s"/>
      <c r="I182" s="193" t="s">
        <v>979</v>
      </c>
      <c r="J182" s="97">
        <f>=IF(LEN(I182)&gt;0,LEN(I182),"")</f>
        <v>85</v>
      </c>
      <c r="K182" s="62" t="s">
        <v>390</v>
      </c>
      <c r="L182" s="74" t="s">
        <v>1551</v>
      </c>
      <c r="M182" s="144" t="s"/>
      <c r="N182" s="145" t="s"/>
      <c r="O182" s="131" t="s"/>
    </row>
    <row r="183" spans="1:15">
      <c r="A183" s="59" t="s">
        <v>980</v>
      </c>
      <c r="B183" s="60">
        <v>1</v>
      </c>
      <c r="C183" s="604" t="s">
        <v>981</v>
      </c>
      <c r="D183" s="62" t="s">
        <v>982</v>
      </c>
      <c r="E183" s="63" t="str">
        <f>=HYPERLINK(_xlfn.CONCAT("pzplus.tck.mn/db?type=",A183,"&amp;variant=no"),IF(D183&lt;&gt;0,D183,A183))</f>
        <v>珍珠</v>
      </c>
      <c r="F183" s="219">
        <v>6</v>
      </c>
      <c r="G183" s="219" t="s">
        <v>917</v>
      </c>
      <c r="H183" s="192" t="s"/>
      <c r="I183" s="193" t="s">
        <v>983</v>
      </c>
      <c r="J183" s="97">
        <f>=IF(LEN(I183)&gt;0,LEN(I183),"")</f>
        <v>85</v>
      </c>
      <c r="K183" s="62" t="s">
        <v>73</v>
      </c>
      <c r="L183" s="61" t="s">
        <v>984</v>
      </c>
      <c r="M183" s="373" t="s">
        <v>985</v>
      </c>
      <c r="N183" s="69">
        <v>2000</v>
      </c>
      <c r="O183" s="68" t="s">
        <v>76</v>
      </c>
    </row>
    <row r="184" spans="1:15">
      <c r="A184" s="59" t="s">
        <v>986</v>
      </c>
      <c r="B184" s="90">
        <v>1</v>
      </c>
      <c r="C184" s="604" t="s">
        <v>987</v>
      </c>
      <c r="D184" s="98" t="s">
        <v>988</v>
      </c>
      <c r="E184" s="63" t="str">
        <f>=HYPERLINK(_xlfn.CONCAT("pzplus.tck.mn/db?type=",A184,"&amp;variant=no"),IF(D184&lt;&gt;0,D184,A184))</f>
        <v>归路</v>
      </c>
      <c r="F184" s="219">
        <v>6</v>
      </c>
      <c r="G184" s="219" t="s">
        <v>934</v>
      </c>
      <c r="H184" s="223" t="s">
        <v>989</v>
      </c>
      <c r="I184" s="193" t="s">
        <v>990</v>
      </c>
      <c r="J184" s="99">
        <f>=IF(LEN(I184)&gt;0,LEN(I184),"")</f>
        <v>87</v>
      </c>
      <c r="K184" s="62" t="s">
        <v>991</v>
      </c>
      <c r="L184" s="61" t="s">
        <v>992</v>
      </c>
      <c r="M184" s="89" t="s"/>
      <c r="N184" s="69" t="s"/>
      <c r="O184" s="89" t="s"/>
    </row>
    <row r="185" spans="1:15">
      <c r="A185" s="59" t="s">
        <v>993</v>
      </c>
      <c r="B185" s="60">
        <v>1</v>
      </c>
      <c r="C185" s="604" t="s">
        <v>994</v>
      </c>
      <c r="D185" s="62" t="s">
        <v>995</v>
      </c>
      <c r="E185" s="63" t="str">
        <f>=HYPERLINK(_xlfn.CONCAT("pzplus.tck.mn/db?type=",A185,"&amp;variant=no"),IF(D185&lt;&gt;0,D185,A185))</f>
        <v>城堡墙</v>
      </c>
      <c r="F185" s="219">
        <v>6</v>
      </c>
      <c r="G185" s="219" t="s">
        <v>917</v>
      </c>
      <c r="H185" s="192" t="s"/>
      <c r="I185" s="215" t="s">
        <v>996</v>
      </c>
      <c r="J185" s="142">
        <f>=IF(LEN(I185)&gt;0,LEN(I185),"")</f>
        <v>88</v>
      </c>
      <c r="K185" s="62" t="s">
        <v>73</v>
      </c>
      <c r="L185" s="62" t="s">
        <v>74</v>
      </c>
      <c r="M185" s="389" t="s">
        <v>520</v>
      </c>
      <c r="N185" s="69">
        <v>2009</v>
      </c>
      <c r="O185" s="101" t="s">
        <v>94</v>
      </c>
    </row>
    <row r="186" spans="1:15">
      <c r="A186" s="59" t="s">
        <v>997</v>
      </c>
      <c r="B186" s="90">
        <v>1</v>
      </c>
      <c r="C186" s="604" t="s">
        <v>998</v>
      </c>
      <c r="D186" s="98" t="s">
        <v>999</v>
      </c>
      <c r="E186" s="63" t="str">
        <f>=HYPERLINK(_xlfn.CONCAT("pzplus.tck.mn/db?type=",A186,"&amp;variant=no"),IF(D186&lt;&gt;0,D186,A186))</f>
        <v>木头人</v>
      </c>
      <c r="F186" s="219">
        <v>6</v>
      </c>
      <c r="G186" s="219" t="s">
        <v>934</v>
      </c>
      <c r="H186" s="223" t="s">
        <v>989</v>
      </c>
      <c r="I186" s="193" t="s">
        <v>1000</v>
      </c>
      <c r="J186" s="143">
        <f>=IF(LEN(I186)&gt;0,LEN(I186),"")</f>
        <v>90</v>
      </c>
      <c r="K186" s="62" t="s">
        <v>692</v>
      </c>
      <c r="L186" s="74" t="s">
        <v>1552</v>
      </c>
      <c r="M186" s="595" t="s">
        <v>1001</v>
      </c>
      <c r="N186" s="69">
        <v>2001</v>
      </c>
      <c r="O186" s="101" t="s">
        <v>93</v>
      </c>
    </row>
    <row r="187" spans="1:15">
      <c r="A187" s="59" t="s">
        <v>1002</v>
      </c>
      <c r="B187" s="60">
        <v>1</v>
      </c>
      <c r="C187" s="604" t="s">
        <v>1003</v>
      </c>
      <c r="D187" s="62" t="s">
        <v>1004</v>
      </c>
      <c r="E187" s="63" t="str">
        <f>=HYPERLINK(_xlfn.CONCAT("pzplus.tck.mn/db?type=",A187,"&amp;variant=no"),IF(D187&lt;&gt;0,D187,A187))</f>
        <v>回娘家</v>
      </c>
      <c r="F187" s="219">
        <v>6</v>
      </c>
      <c r="G187" s="219" t="s">
        <v>934</v>
      </c>
      <c r="H187" s="223" t="s">
        <v>989</v>
      </c>
      <c r="I187" s="215" t="s">
        <v>1005</v>
      </c>
      <c r="J187" s="146">
        <f>=IF(LEN(I187)&gt;0,LEN(I187),"")</f>
        <v>93</v>
      </c>
      <c r="K187" s="62" t="s">
        <v>991</v>
      </c>
      <c r="L187" s="61" t="s">
        <v>1006</v>
      </c>
      <c r="M187" s="373" t="s">
        <v>862</v>
      </c>
      <c r="N187" s="69">
        <v>2002</v>
      </c>
      <c r="O187" s="68" t="s">
        <v>76</v>
      </c>
    </row>
    <row r="188" spans="1:15">
      <c r="A188" s="59" t="s">
        <v>1007</v>
      </c>
      <c r="B188" s="90">
        <v>1</v>
      </c>
      <c r="C188" s="604" t="s">
        <v>1008</v>
      </c>
      <c r="D188" s="62" t="s">
        <v>1009</v>
      </c>
      <c r="E188" s="63" t="str">
        <f>=HYPERLINK(_xlfn.CONCAT("pzplus.tck.mn/db?type=",A188,"&amp;variant=no"),IF(D188&lt;&gt;0,D188,A188))</f>
        <v>森林行者</v>
      </c>
      <c r="F188" s="219">
        <v>6</v>
      </c>
      <c r="G188" s="219" t="s">
        <v>934</v>
      </c>
      <c r="H188" s="192" t="s"/>
      <c r="I188" s="215" t="s">
        <v>1010</v>
      </c>
      <c r="J188" s="147">
        <f>=IF(LEN(I188)&gt;0,LEN(I188),"")</f>
        <v>98</v>
      </c>
      <c r="K188" s="62" t="s">
        <v>365</v>
      </c>
      <c r="L188" s="62" t="s">
        <v>74</v>
      </c>
      <c r="M188" s="131" t="s"/>
      <c r="N188" s="208" t="s"/>
      <c r="O188" s="131" t="s"/>
    </row>
    <row r="189" spans="1:15">
      <c r="A189" s="59" t="s">
        <v>1011</v>
      </c>
      <c r="B189" s="90">
        <v>1</v>
      </c>
      <c r="C189" s="604" t="s">
        <v>1012</v>
      </c>
      <c r="D189" s="127" t="s">
        <v>1013</v>
      </c>
      <c r="E189" s="63" t="str">
        <f>=HYPERLINK(_xlfn.CONCAT("pzplus.tck.mn/db?type=",A189,"&amp;variant=no"),IF(D189&lt;&gt;0,D189,A189))</f>
        <v>烈焰行者</v>
      </c>
      <c r="F189" s="219">
        <v>6</v>
      </c>
      <c r="G189" s="219" t="s">
        <v>917</v>
      </c>
      <c r="H189" s="192" t="s"/>
      <c r="I189" s="193" t="s">
        <v>1014</v>
      </c>
      <c r="J189" s="329">
        <f>=IF(LEN(I189)&gt;0,LEN(I189),"")</f>
        <v>101</v>
      </c>
      <c r="K189" s="127" t="s">
        <v>109</v>
      </c>
      <c r="L189" s="130" t="s">
        <v>74</v>
      </c>
      <c r="M189" s="188" t="s"/>
      <c r="N189" s="180" t="s"/>
      <c r="O189" s="131" t="s"/>
    </row>
    <row r="190" spans="1:15">
      <c r="A190" s="59" t="s">
        <v>1015</v>
      </c>
      <c r="B190" s="60">
        <v>1</v>
      </c>
      <c r="C190" s="604" t="s">
        <v>1016</v>
      </c>
      <c r="D190" s="127" t="s">
        <v>1017</v>
      </c>
      <c r="E190" s="63" t="str">
        <f>=HYPERLINK(_xlfn.CONCAT("pzplus.tck.mn/db?type=",A190,"&amp;variant=no"),IF(D190&lt;&gt;0,D190,A190))</f>
        <v>乱序回路</v>
      </c>
      <c r="F190" s="219">
        <v>6</v>
      </c>
      <c r="G190" s="219" t="s">
        <v>917</v>
      </c>
      <c r="H190" s="192" t="s"/>
      <c r="I190" s="193" t="s">
        <v>1018</v>
      </c>
      <c r="J190" s="199">
        <f>=IF(LEN(I190)&gt;0,LEN(I190),"")</f>
        <v>102</v>
      </c>
      <c r="K190" s="62" t="s">
        <v>416</v>
      </c>
      <c r="L190" s="71" t="s">
        <v>74</v>
      </c>
      <c r="M190" s="373" t="s">
        <v>99</v>
      </c>
      <c r="N190" s="69" t="s">
        <v>116</v>
      </c>
      <c r="O190" s="68" t="s">
        <v>94</v>
      </c>
    </row>
    <row r="191" spans="1:15">
      <c r="A191" s="59" t="s">
        <v>1019</v>
      </c>
      <c r="B191" s="60">
        <v>1</v>
      </c>
      <c r="C191" s="604" t="s">
        <v>1020</v>
      </c>
      <c r="D191" s="62" t="s">
        <v>1021</v>
      </c>
      <c r="E191" s="63" t="str">
        <f>=HYPERLINK(_xlfn.CONCAT("pzplus.tck.mn/db?type=",A191,"&amp;variant=no"),IF(D191&lt;&gt;0,D191,A191))</f>
        <v>火锅</v>
      </c>
      <c r="F191" s="219">
        <v>6</v>
      </c>
      <c r="G191" s="219" t="s">
        <v>934</v>
      </c>
      <c r="H191" s="223" t="s">
        <v>989</v>
      </c>
      <c r="I191" s="215" t="s">
        <v>1022</v>
      </c>
      <c r="J191" s="199">
        <f>=IF(LEN(I191)&gt;0,LEN(I191),"")</f>
        <v>102</v>
      </c>
      <c r="K191" s="62" t="s">
        <v>73</v>
      </c>
      <c r="L191" s="61" t="s">
        <v>1023</v>
      </c>
      <c r="M191" s="373" t="s">
        <v>1024</v>
      </c>
      <c r="N191" s="69">
        <v>2011</v>
      </c>
      <c r="O191" s="68" t="s">
        <v>76</v>
      </c>
    </row>
    <row r="192" spans="1:15">
      <c r="A192" s="59" t="s">
        <v>1025</v>
      </c>
      <c r="B192" s="90">
        <v>1</v>
      </c>
      <c r="C192" s="604" t="s">
        <v>1026</v>
      </c>
      <c r="D192" s="62" t="s">
        <v>1027</v>
      </c>
      <c r="E192" s="63" t="str">
        <f>=HYPERLINK(_xlfn.CONCAT("pzplus.tck.mn/db?type=",A192,"&amp;variant=no"),IF(D192&lt;&gt;0,D192,A192))</f>
        <v>长方滑动</v>
      </c>
      <c r="F192" s="219">
        <v>6</v>
      </c>
      <c r="G192" s="219" t="s">
        <v>934</v>
      </c>
      <c r="H192" s="223" t="s">
        <v>989</v>
      </c>
      <c r="I192" s="193" t="s">
        <v>1028</v>
      </c>
      <c r="J192" s="199">
        <f>=IF(LEN(I192)&gt;0,LEN(I192),"")</f>
        <v>102</v>
      </c>
      <c r="K192" s="62" t="s">
        <v>73</v>
      </c>
      <c r="L192" s="62" t="s">
        <v>74</v>
      </c>
      <c r="M192" s="415" t="s">
        <v>241</v>
      </c>
      <c r="N192" s="69">
        <v>2013</v>
      </c>
      <c r="O192" s="68" t="s">
        <v>93</v>
      </c>
    </row>
    <row r="193" spans="1:15">
      <c r="A193" s="59" t="s">
        <v>1029</v>
      </c>
      <c r="B193" s="70">
        <v>0.8</v>
      </c>
      <c r="C193" s="604" t="s">
        <v>1030</v>
      </c>
      <c r="D193" s="98" t="s">
        <v>1031</v>
      </c>
      <c r="E193" s="63" t="str">
        <f>=HYPERLINK(_xlfn.CONCAT("pzplus.tck.mn/db?type=",A193,"&amp;variant=no"),IF(D193&lt;&gt;0,D193,A193))</f>
        <v>记忆的永恒</v>
      </c>
      <c r="F193" s="219">
        <v>6</v>
      </c>
      <c r="G193" s="219" t="s">
        <v>934</v>
      </c>
      <c r="H193" s="192" t="s"/>
      <c r="I193" s="193" t="s">
        <v>1032</v>
      </c>
      <c r="J193" s="225">
        <f>=IF(LEN(I193)&gt;0,LEN(I193),"")</f>
        <v>104</v>
      </c>
      <c r="K193" s="62" t="s">
        <v>202</v>
      </c>
      <c r="L193" s="74" t="s">
        <v>74</v>
      </c>
      <c r="M193" s="89" t="s"/>
      <c r="N193" s="76" t="s"/>
      <c r="O193" s="89" t="s"/>
    </row>
    <row r="194" spans="1:15">
      <c r="A194" s="59" t="s">
        <v>1033</v>
      </c>
      <c r="B194" s="90">
        <v>1</v>
      </c>
      <c r="C194" s="604" t="s">
        <v>1034</v>
      </c>
      <c r="D194" s="127" t="s">
        <v>1035</v>
      </c>
      <c r="E194" s="63" t="str">
        <f>=HYPERLINK(_xlfn.CONCAT("pzplus.tck.mn/db?type=",A194,"&amp;variant=no"),IF(D194&lt;&gt;0,D194,A194))</f>
        <v>冰宫行者</v>
      </c>
      <c r="F194" s="219">
        <v>6</v>
      </c>
      <c r="G194" s="219" t="s">
        <v>917</v>
      </c>
      <c r="H194" s="192" t="s"/>
      <c r="I194" s="215" t="s">
        <v>1036</v>
      </c>
      <c r="J194" s="226">
        <f>=IF(LEN(I194)&gt;0,LEN(I194),"")</f>
        <v>105</v>
      </c>
      <c r="K194" s="127" t="s">
        <v>109</v>
      </c>
      <c r="L194" s="127" t="s">
        <v>74</v>
      </c>
      <c r="M194" s="137" t="s"/>
      <c r="N194" s="76" t="s"/>
      <c r="O194" s="126" t="s"/>
    </row>
    <row r="195" spans="1:15">
      <c r="A195" s="59" t="s">
        <v>1037</v>
      </c>
      <c r="B195" s="70">
        <v>0.8</v>
      </c>
      <c r="C195" s="604" t="s">
        <v>1038</v>
      </c>
      <c r="D195" s="127" t="s">
        <v>1039</v>
      </c>
      <c r="E195" s="63" t="str">
        <f>=HYPERLINK(_xlfn.CONCAT("pzplus.tck.mn/db?type=",A195,"&amp;variant=no"),IF(D195&lt;&gt;0,D195,A195))</f>
        <v>行星轨道</v>
      </c>
      <c r="F195" s="219">
        <v>6</v>
      </c>
      <c r="G195" s="219" t="s">
        <v>917</v>
      </c>
      <c r="H195" s="192" t="s"/>
      <c r="I195" s="193" t="s">
        <v>1040</v>
      </c>
      <c r="J195" s="227">
        <f>=IF(LEN(I195)&gt;0,LEN(I195),"")</f>
        <v>107</v>
      </c>
      <c r="K195" s="127" t="s">
        <v>202</v>
      </c>
      <c r="L195" s="127" t="s">
        <v>74</v>
      </c>
      <c r="M195" s="599" t="s">
        <v>93</v>
      </c>
      <c r="N195" s="76" t="s"/>
      <c r="O195" s="137" t="s"/>
    </row>
    <row r="196" spans="1:15">
      <c r="A196" s="59" t="s">
        <v>1454</v>
      </c>
      <c r="B196" s="198">
        <v>0.5</v>
      </c>
      <c r="C196" s="604" t="s">
        <v>1455</v>
      </c>
      <c r="D196" s="127" t="s">
        <v>1456</v>
      </c>
      <c r="E196" s="63" t="str">
        <f>=HYPERLINK(_xlfn.CONCAT("pzplus.tck.mn/db?type=",A196,"&amp;variant=no"),IF(D196&lt;&gt;0,D196,A196))</f>
        <v>黑白回路</v>
      </c>
      <c r="F196" s="219">
        <v>6</v>
      </c>
      <c r="G196" s="219" t="s">
        <v>917</v>
      </c>
      <c r="H196" s="192" t="s"/>
      <c r="I196" s="193" t="s">
        <v>1457</v>
      </c>
      <c r="J196" s="109">
        <f>=IF(LEN(I196)&gt;0,LEN(I196),"")</f>
        <v>109</v>
      </c>
      <c r="K196" s="62" t="s">
        <v>1458</v>
      </c>
      <c r="L196" s="74" t="s">
        <v>1673</v>
      </c>
      <c r="M196" s="89" t="s"/>
      <c r="N196" s="76" t="s"/>
      <c r="O196" s="89" t="s"/>
    </row>
    <row r="197" spans="1:15">
      <c r="A197" s="59" t="s">
        <v>1041</v>
      </c>
      <c r="B197" s="90">
        <v>1</v>
      </c>
      <c r="C197" s="604" t="s">
        <v>1042</v>
      </c>
      <c r="D197" s="62" t="s">
        <v>1043</v>
      </c>
      <c r="E197" s="63" t="str">
        <f>=HYPERLINK(_xlfn.CONCAT("pzplus.tck.mn/db?type=",A197,"&amp;variant=no"),IF(D197&lt;&gt;0,D197,A197))</f>
        <v>反射回路</v>
      </c>
      <c r="F197" s="219">
        <v>6</v>
      </c>
      <c r="G197" s="219" t="s">
        <v>917</v>
      </c>
      <c r="H197" s="192" t="s"/>
      <c r="I197" s="193" t="s">
        <v>1044</v>
      </c>
      <c r="J197" s="177">
        <f>=IF(LEN(I197)&gt;0,LEN(I197),"")</f>
        <v>110</v>
      </c>
      <c r="K197" s="62" t="s">
        <v>109</v>
      </c>
      <c r="L197" s="62" t="s">
        <v>74</v>
      </c>
      <c r="M197" s="373" t="s">
        <v>1045</v>
      </c>
      <c r="N197" s="76">
        <v>2004</v>
      </c>
      <c r="O197" s="68" t="s">
        <v>76</v>
      </c>
    </row>
    <row r="198" spans="1:15">
      <c r="A198" s="59" t="s">
        <v>1046</v>
      </c>
      <c r="B198" s="90">
        <v>1</v>
      </c>
      <c r="C198" s="604" t="s">
        <v>1047</v>
      </c>
      <c r="D198" s="98" t="s">
        <v>1048</v>
      </c>
      <c r="E198" s="63" t="str">
        <f>=HYPERLINK(_xlfn.CONCAT("pzplus.tck.mn/db?type=",A198,"&amp;variant=no"),IF(D198&lt;&gt;0,D198,A198))</f>
        <v>巡行通关</v>
      </c>
      <c r="F198" s="219">
        <v>6</v>
      </c>
      <c r="G198" s="219" t="s">
        <v>917</v>
      </c>
      <c r="H198" s="192" t="s"/>
      <c r="I198" s="215" t="s">
        <v>1049</v>
      </c>
      <c r="J198" s="150">
        <f>=IF(LEN(I198)&gt;0,LEN(I198),"")</f>
        <v>115</v>
      </c>
      <c r="K198" s="62" t="s">
        <v>73</v>
      </c>
      <c r="L198" s="74" t="s">
        <v>1553</v>
      </c>
      <c r="M198" s="373" t="s">
        <v>1050</v>
      </c>
      <c r="N198" s="76">
        <v>2006</v>
      </c>
      <c r="O198" s="68" t="s">
        <v>93</v>
      </c>
    </row>
    <row r="199" spans="1:15">
      <c r="A199" s="59" t="s">
        <v>1051</v>
      </c>
      <c r="B199" s="90">
        <v>1</v>
      </c>
      <c r="C199" s="604" t="s">
        <v>1052</v>
      </c>
      <c r="D199" s="62" t="s">
        <v>1053</v>
      </c>
      <c r="E199" s="63" t="str">
        <f>=HYPERLINK(_xlfn.CONCAT("pzplus.tck.mn/db?type=",A199,"&amp;variant=no"),IF(D199&lt;&gt;0,D199,A199))</f>
        <v>萤火虫</v>
      </c>
      <c r="F199" s="219">
        <v>6</v>
      </c>
      <c r="G199" s="219" t="s">
        <v>934</v>
      </c>
      <c r="H199" s="192" t="s"/>
      <c r="I199" s="193" t="s">
        <v>1054</v>
      </c>
      <c r="J199" s="110">
        <f>=IF(LEN(I199)&gt;0,LEN(I199),"")</f>
        <v>120</v>
      </c>
      <c r="K199" s="62" t="s">
        <v>109</v>
      </c>
      <c r="L199" s="62" t="s">
        <v>1554</v>
      </c>
      <c r="M199" s="373" t="s">
        <v>1055</v>
      </c>
      <c r="N199" s="76">
        <v>2000</v>
      </c>
      <c r="O199" s="68" t="s">
        <v>93</v>
      </c>
    </row>
    <row r="200" spans="1:15">
      <c r="A200" s="59" t="s">
        <v>1056</v>
      </c>
      <c r="B200" s="70">
        <v>0.8</v>
      </c>
      <c r="C200" s="604" t="s">
        <v>1057</v>
      </c>
      <c r="D200" s="72" t="s"/>
      <c r="E200" s="63" t="str">
        <f>=HYPERLINK(_xlfn.CONCAT("pzplus.tck.mn/db?type=",A200,"&amp;variant=no"),IF(D200&lt;&gt;0,D200,A200))</f>
        <v>dotchi2</v>
      </c>
      <c r="F200" s="219">
        <v>6</v>
      </c>
      <c r="G200" s="219" t="s">
        <v>917</v>
      </c>
      <c r="H200" s="192" t="s"/>
      <c r="I200" s="215" t="s">
        <v>1058</v>
      </c>
      <c r="J200" s="217">
        <f>=IF(LEN(I200)&gt;0,LEN(I200),"")</f>
        <v>122</v>
      </c>
      <c r="K200" s="62" t="s">
        <v>115</v>
      </c>
      <c r="L200" s="74" t="s">
        <v>1555</v>
      </c>
      <c r="M200" s="89" t="s"/>
      <c r="N200" s="76" t="s"/>
      <c r="O200" s="89" t="s"/>
    </row>
    <row r="201" spans="1:15">
      <c r="A201" s="59" t="s">
        <v>1059</v>
      </c>
      <c r="B201" s="90">
        <v>1</v>
      </c>
      <c r="C201" s="604" t="s">
        <v>1060</v>
      </c>
      <c r="D201" s="127" t="s">
        <v>1061</v>
      </c>
      <c r="E201" s="63" t="str">
        <f>=HYPERLINK(_xlfn.CONCAT("pzplus.tck.mn/db?type=",A201,"&amp;variant=no"),IF(D201&lt;&gt;0,D201,A201))</f>
        <v>交直</v>
      </c>
      <c r="F201" s="219">
        <v>6</v>
      </c>
      <c r="G201" s="219" t="s">
        <v>917</v>
      </c>
      <c r="H201" s="192" t="s"/>
      <c r="I201" s="215" t="s">
        <v>1062</v>
      </c>
      <c r="J201" s="217">
        <f>=IF(LEN(I201)&gt;0,LEN(I201),"")</f>
        <v>122</v>
      </c>
      <c r="K201" s="62" t="s">
        <v>109</v>
      </c>
      <c r="L201" s="62" t="s">
        <v>1556</v>
      </c>
      <c r="M201" s="373" t="s">
        <v>771</v>
      </c>
      <c r="N201" s="69">
        <v>2010</v>
      </c>
      <c r="O201" s="68" t="s">
        <v>93</v>
      </c>
    </row>
    <row r="202" spans="1:15">
      <c r="A202" s="59" t="s">
        <v>1063</v>
      </c>
      <c r="B202" s="90">
        <v>1</v>
      </c>
      <c r="C202" s="604" t="s">
        <v>1064</v>
      </c>
      <c r="D202" s="62" t="s">
        <v>1065</v>
      </c>
      <c r="E202" s="63" t="str">
        <f>=HYPERLINK(_xlfn.CONCAT("pzplus.tck.mn/db?type=",A202,"&amp;variant=no"),IF(D202&lt;&gt;0,D202,A202))</f>
        <v>平衡回路</v>
      </c>
      <c r="F202" s="219">
        <v>6</v>
      </c>
      <c r="G202" s="219" t="s">
        <v>917</v>
      </c>
      <c r="H202" s="192" t="s"/>
      <c r="I202" s="215" t="s">
        <v>1066</v>
      </c>
      <c r="J202" s="339">
        <f>=IF(LEN(I202)&gt;0,LEN(I202),"")</f>
        <v>125</v>
      </c>
      <c r="K202" s="62" t="s">
        <v>73</v>
      </c>
      <c r="L202" s="62" t="s">
        <v>74</v>
      </c>
      <c r="M202" s="373" t="s">
        <v>134</v>
      </c>
      <c r="N202" s="69">
        <v>2015</v>
      </c>
      <c r="O202" s="68" t="s">
        <v>94</v>
      </c>
    </row>
    <row r="203" spans="1:15">
      <c r="A203" s="231" t="s">
        <v>1067</v>
      </c>
      <c r="B203" s="69">
        <v>1</v>
      </c>
      <c r="C203" s="605" t="s">
        <v>1068</v>
      </c>
      <c r="D203" s="68" t="s">
        <v>1069</v>
      </c>
      <c r="E203" s="63" t="str">
        <f>=HYPERLINK(_xlfn.CONCAT("pzplus.tck.mn/db?type=",A203,"&amp;variant=no"),IF(D203&lt;&gt;0,D203,A203))</f>
        <v>十字绣</v>
      </c>
      <c r="F203" s="232">
        <v>6</v>
      </c>
      <c r="G203" s="232" t="s">
        <v>917</v>
      </c>
      <c r="H203" s="233" t="s"/>
      <c r="I203" s="234" t="s">
        <v>1070</v>
      </c>
      <c r="J203" s="340">
        <f>=IF(LEN(I203)&gt;0,LEN(I203),"")</f>
        <v>129</v>
      </c>
      <c r="K203" s="68" t="s">
        <v>109</v>
      </c>
      <c r="L203" s="101" t="s">
        <v>74</v>
      </c>
      <c r="M203" s="373" t="s">
        <v>877</v>
      </c>
      <c r="N203" s="69">
        <v>2020</v>
      </c>
      <c r="O203" s="68" t="s">
        <v>94</v>
      </c>
    </row>
    <row r="204" spans="1:15">
      <c r="A204" s="231" t="s">
        <v>1076</v>
      </c>
      <c r="B204" s="69">
        <v>1</v>
      </c>
      <c r="C204" s="605" t="s">
        <v>1077</v>
      </c>
      <c r="D204" s="68" t="s">
        <v>1078</v>
      </c>
      <c r="E204" s="236" t="str">
        <f>=HYPERLINK(_xlfn.CONCAT("pzplus.tck.mn/db?type=",A204,"&amp;variant=no"),IF(D204&lt;&gt;0,D204,A204))</f>
        <v>日月交替</v>
      </c>
      <c r="F204" s="232">
        <v>6</v>
      </c>
      <c r="G204" s="232" t="s">
        <v>917</v>
      </c>
      <c r="H204" s="233" t="s"/>
      <c r="I204" s="234" t="s">
        <v>1079</v>
      </c>
      <c r="J204" s="235">
        <f>=IF(LEN(I204)&gt;0,LEN(I204),"")</f>
        <v>132</v>
      </c>
      <c r="K204" s="68" t="s">
        <v>73</v>
      </c>
      <c r="L204" s="68" t="s">
        <v>74</v>
      </c>
      <c r="M204" s="373" t="s">
        <v>1080</v>
      </c>
      <c r="N204" s="69">
        <v>2016</v>
      </c>
      <c r="O204" s="68" t="s">
        <v>93</v>
      </c>
    </row>
    <row r="205" spans="1:15">
      <c r="A205" s="231" t="s">
        <v>1071</v>
      </c>
      <c r="B205" s="260">
        <v>0.8</v>
      </c>
      <c r="C205" s="605" t="s">
        <v>1072</v>
      </c>
      <c r="D205" s="68" t="s">
        <v>1073</v>
      </c>
      <c r="E205" s="236" t="str">
        <f>=HYPERLINK(_xlfn.CONCAT("pzplus.tck.mn/db?type=",A205,"&amp;variant=no"),IF(D205&lt;&gt;0,D205,A205))</f>
        <v>同胞回路</v>
      </c>
      <c r="F205" s="232">
        <v>6</v>
      </c>
      <c r="G205" s="232" t="s">
        <v>917</v>
      </c>
      <c r="H205" s="233" t="s"/>
      <c r="I205" s="234" t="s">
        <v>1459</v>
      </c>
      <c r="J205" s="341">
        <f>=IF(LEN(I205)&gt;0,LEN(I205),"")</f>
        <v>133</v>
      </c>
      <c r="K205" s="68" t="s">
        <v>1075</v>
      </c>
      <c r="L205" s="68" t="s">
        <v>1557</v>
      </c>
      <c r="M205" s="373" t="s">
        <v>134</v>
      </c>
      <c r="N205" s="76" t="s"/>
      <c r="O205" s="68" t="s">
        <v>82</v>
      </c>
    </row>
    <row r="206" spans="1:15">
      <c r="A206" s="231" t="s">
        <v>1081</v>
      </c>
      <c r="B206" s="238">
        <v>1</v>
      </c>
      <c r="C206" s="605" t="s">
        <v>1082</v>
      </c>
      <c r="D206" s="68" t="s">
        <v>1083</v>
      </c>
      <c r="E206" s="236" t="str">
        <f>=HYPERLINK(_xlfn.CONCAT("pzplus.tck.mn/db?type=",A206,"&amp;variant=no"),IF(D206&lt;&gt;0,D206,A206))</f>
        <v>冰宫游弋</v>
      </c>
      <c r="F206" s="232">
        <v>6</v>
      </c>
      <c r="G206" s="232" t="s">
        <v>934</v>
      </c>
      <c r="H206" s="233" t="s"/>
      <c r="I206" s="241" t="s">
        <v>1084</v>
      </c>
      <c r="J206" s="237">
        <f>=IF(LEN(I206)&gt;0,LEN(I206),"")</f>
        <v>135</v>
      </c>
      <c r="K206" s="68" t="s">
        <v>390</v>
      </c>
      <c r="L206" s="68" t="s">
        <v>1558</v>
      </c>
      <c r="M206" s="373" t="s">
        <v>1085</v>
      </c>
      <c r="N206" s="69">
        <v>2004</v>
      </c>
      <c r="O206" s="68" t="s">
        <v>76</v>
      </c>
    </row>
    <row r="207" spans="1:15">
      <c r="A207" s="231" t="s">
        <v>1086</v>
      </c>
      <c r="B207" s="69">
        <v>1</v>
      </c>
      <c r="C207" s="605" t="s">
        <v>1087</v>
      </c>
      <c r="D207" s="68" t="s">
        <v>1088</v>
      </c>
      <c r="E207" s="236" t="str">
        <f>=HYPERLINK(_xlfn.CONCAT("pzplus.tck.mn/db?type=",A207,"&amp;variant=no"),IF(D207&lt;&gt;0,D207,A207))</f>
        <v>土派回路</v>
      </c>
      <c r="F207" s="232">
        <v>6</v>
      </c>
      <c r="G207" s="232" t="s">
        <v>917</v>
      </c>
      <c r="H207" s="233" t="s"/>
      <c r="I207" s="241" t="s">
        <v>1089</v>
      </c>
      <c r="J207" s="240">
        <f>=IF(LEN(I207)&gt;0,LEN(I207),"")</f>
        <v>138</v>
      </c>
      <c r="K207" s="68" t="s">
        <v>180</v>
      </c>
      <c r="L207" s="68" t="s">
        <v>1090</v>
      </c>
      <c r="M207" s="373" t="s">
        <v>1091</v>
      </c>
      <c r="N207" s="69" t="s">
        <v>116</v>
      </c>
      <c r="O207" s="68" t="s">
        <v>94</v>
      </c>
    </row>
    <row r="208" spans="1:15">
      <c r="A208" s="231" t="s">
        <v>1092</v>
      </c>
      <c r="B208" s="238">
        <v>1</v>
      </c>
      <c r="C208" s="605" t="s">
        <v>1093</v>
      </c>
      <c r="D208" s="68" t="s">
        <v>1094</v>
      </c>
      <c r="E208" s="236" t="str">
        <f>=HYPERLINK(_xlfn.CONCAT("pzplus.tck.mn/db?type=",A208,"&amp;variant=no"),IF(D208&lt;&gt;0,D208,A208))</f>
        <v>角度回路</v>
      </c>
      <c r="F208" s="232">
        <v>6</v>
      </c>
      <c r="G208" s="232" t="s">
        <v>917</v>
      </c>
      <c r="H208" s="233" t="s"/>
      <c r="I208" s="241" t="s">
        <v>1095</v>
      </c>
      <c r="J208" s="242">
        <f>=IF(LEN(I208)&gt;0,LEN(I208),"")</f>
        <v>139</v>
      </c>
      <c r="K208" s="68" t="s">
        <v>73</v>
      </c>
      <c r="L208" s="68" t="s">
        <v>74</v>
      </c>
      <c r="M208" s="126" t="s"/>
      <c r="N208" s="76" t="s"/>
      <c r="O208" s="126" t="s"/>
    </row>
    <row r="209" spans="1:15">
      <c r="A209" s="231" t="s">
        <v>1096</v>
      </c>
      <c r="B209" s="69">
        <v>1</v>
      </c>
      <c r="C209" s="605" t="s">
        <v>1097</v>
      </c>
      <c r="D209" s="89" t="s">
        <v>1098</v>
      </c>
      <c r="E209" s="236" t="str">
        <f>=HYPERLINK(_xlfn.CONCAT("pzplus.tck.mn/db?type=",A209,"&amp;variant=no"),IF(D209&lt;&gt;0,D209,A209))</f>
        <v>吹风机回路</v>
      </c>
      <c r="F209" s="232">
        <v>6</v>
      </c>
      <c r="G209" s="232" t="s">
        <v>917</v>
      </c>
      <c r="H209" s="233" t="s"/>
      <c r="I209" s="234" t="s">
        <v>1099</v>
      </c>
      <c r="J209" s="243">
        <f>=IF(LEN(I209)&gt;0,LEN(I209),"")</f>
        <v>152</v>
      </c>
      <c r="K209" s="89" t="s">
        <v>115</v>
      </c>
      <c r="L209" s="101" t="s">
        <v>1559</v>
      </c>
      <c r="M209" s="89" t="s">
        <v>1100</v>
      </c>
      <c r="N209" s="69">
        <v>2014</v>
      </c>
      <c r="O209" s="89" t="s">
        <v>93</v>
      </c>
    </row>
    <row r="210" spans="1:15">
      <c r="A210" s="231" t="s">
        <v>1101</v>
      </c>
      <c r="B210" s="238">
        <v>1</v>
      </c>
      <c r="C210" s="605" t="s">
        <v>1102</v>
      </c>
      <c r="D210" s="89" t="s">
        <v>1103</v>
      </c>
      <c r="E210" s="236" t="str">
        <f>=HYPERLINK(_xlfn.CONCAT("pzplus.tck.mn/db?type=",A210,"&amp;variant=no"),IF(D210&lt;&gt;0,D210,A210))</f>
        <v>高尔夫</v>
      </c>
      <c r="F210" s="232">
        <v>6</v>
      </c>
      <c r="G210" s="232" t="s">
        <v>934</v>
      </c>
      <c r="H210" s="245" t="s">
        <v>989</v>
      </c>
      <c r="I210" s="241" t="s">
        <v>1104</v>
      </c>
      <c r="J210" s="246">
        <f>=IF(LEN(I210)&gt;0,LEN(I210),"")</f>
        <v>203</v>
      </c>
      <c r="K210" s="89" t="s">
        <v>390</v>
      </c>
      <c r="L210" s="68" t="s">
        <v>1560</v>
      </c>
      <c r="M210" s="428" t="s">
        <v>93</v>
      </c>
      <c r="N210" s="69" t="s"/>
      <c r="O210" s="126" t="s">
        <v>94</v>
      </c>
    </row>
    <row r="211" spans="1:15">
      <c r="A211" s="231" t="s">
        <v>1105</v>
      </c>
      <c r="B211" s="238">
        <v>1</v>
      </c>
      <c r="C211" s="605" t="s">
        <v>1106</v>
      </c>
      <c r="D211" s="89" t="s">
        <v>1107</v>
      </c>
      <c r="E211" s="236" t="str">
        <f>=HYPERLINK(_xlfn.CONCAT("pzplus.tck.mn/db?type=",A211,"&amp;variant=no"),IF(D211&lt;&gt;0,D211,A211))</f>
        <v>简单回路</v>
      </c>
      <c r="F211" s="247">
        <v>7</v>
      </c>
      <c r="G211" s="247" t="s">
        <v>1108</v>
      </c>
      <c r="H211" s="233" t="s"/>
      <c r="I211" s="241" t="s">
        <v>1109</v>
      </c>
      <c r="J211" s="248">
        <f>=IF(LEN(I211)&gt;0,LEN(I211),"")</f>
        <v>27</v>
      </c>
      <c r="K211" s="68" t="s">
        <v>73</v>
      </c>
      <c r="L211" s="68" t="s">
        <v>74</v>
      </c>
      <c r="M211" s="89" t="s"/>
      <c r="N211" s="76" t="s"/>
      <c r="O211" s="89" t="s"/>
    </row>
    <row r="212" spans="1:15">
      <c r="A212" s="231" t="s">
        <v>1110</v>
      </c>
      <c r="B212" s="238">
        <v>1</v>
      </c>
      <c r="C212" s="605" t="s">
        <v>1111</v>
      </c>
      <c r="D212" s="89" t="s">
        <v>1112</v>
      </c>
      <c r="E212" s="236" t="str">
        <f>=HYPERLINK(_xlfn.CONCAT("pzplus.tck.mn/db?type=",A212,"&amp;variant=no"),IF(D212&lt;&gt;0,D212,A212))</f>
        <v>二次返回</v>
      </c>
      <c r="F212" s="247">
        <v>7</v>
      </c>
      <c r="G212" s="247" t="s">
        <v>1108</v>
      </c>
      <c r="H212" s="233" t="s"/>
      <c r="I212" s="241" t="s">
        <v>1113</v>
      </c>
      <c r="J212" s="342">
        <f>=IF(LEN(I212)&gt;0,LEN(I212),"")</f>
        <v>42</v>
      </c>
      <c r="K212" s="89" t="s">
        <v>73</v>
      </c>
      <c r="L212" s="68" t="s">
        <v>1561</v>
      </c>
      <c r="M212" s="137" t="s">
        <v>520</v>
      </c>
      <c r="N212" s="69">
        <v>2009</v>
      </c>
      <c r="O212" s="137" t="s">
        <v>94</v>
      </c>
    </row>
    <row r="213" spans="1:15">
      <c r="A213" s="231" t="s">
        <v>1114</v>
      </c>
      <c r="B213" s="238">
        <v>1</v>
      </c>
      <c r="C213" s="605" t="s">
        <v>1115</v>
      </c>
      <c r="D213" s="89" t="s">
        <v>1116</v>
      </c>
      <c r="E213" s="236" t="str">
        <f>=HYPERLINK(_xlfn.CONCAT("pzplus.tck.mn/db?type=",A213,"&amp;variant=no"),IF(D213&lt;&gt;0,D213,A213))</f>
        <v>绕道</v>
      </c>
      <c r="F213" s="247">
        <v>7</v>
      </c>
      <c r="G213" s="247" t="s">
        <v>1108</v>
      </c>
      <c r="H213" s="233" t="s"/>
      <c r="I213" s="241" t="s">
        <v>1117</v>
      </c>
      <c r="J213" s="343">
        <f>=IF(LEN(I213)&gt;0,LEN(I213),"")</f>
        <v>44</v>
      </c>
      <c r="K213" s="89" t="s">
        <v>180</v>
      </c>
      <c r="L213" s="131" t="s">
        <v>74</v>
      </c>
      <c r="M213" s="89" t="s"/>
      <c r="N213" s="76" t="s"/>
      <c r="O213" s="89" t="s"/>
    </row>
    <row r="214" spans="1:15">
      <c r="A214" s="231" t="s">
        <v>1118</v>
      </c>
      <c r="B214" s="251">
        <v>0</v>
      </c>
      <c r="C214" s="605" t="s">
        <v>1119</v>
      </c>
      <c r="D214" s="89" t="s">
        <v>1120</v>
      </c>
      <c r="E214" s="236" t="str">
        <f>=HYPERLINK(_xlfn.CONCAT("pzplus.tck.mn/db?type=",A214,"&amp;variant=no"),IF(D214&lt;&gt;0,D214,A214))</f>
        <v>交替回路</v>
      </c>
      <c r="F214" s="247">
        <v>7</v>
      </c>
      <c r="G214" s="247" t="s">
        <v>1108</v>
      </c>
      <c r="H214" s="233" t="s"/>
      <c r="I214" s="241" t="s">
        <v>1121</v>
      </c>
      <c r="J214" s="252">
        <f>=IF(LEN(I214)&gt;0,LEN(I214),"")</f>
        <v>47</v>
      </c>
      <c r="K214" s="89" t="s">
        <v>73</v>
      </c>
      <c r="L214" s="131" t="s">
        <v>74</v>
      </c>
      <c r="M214" s="161" t="s"/>
      <c r="N214" s="76" t="s"/>
      <c r="O214" s="137" t="s"/>
    </row>
    <row r="215" spans="1:15">
      <c r="A215" s="231" t="s">
        <v>1122</v>
      </c>
      <c r="B215" s="238">
        <v>1</v>
      </c>
      <c r="C215" s="605" t="s">
        <v>1123</v>
      </c>
      <c r="D215" s="89" t="s">
        <v>1124</v>
      </c>
      <c r="E215" s="236" t="str">
        <f>=HYPERLINK(_xlfn.CONCAT("pzplus.tck.mn/db?type=",A215,"&amp;variant=no"),IF(D215&lt;&gt;0,D215,A215))</f>
        <v>入数</v>
      </c>
      <c r="F215" s="247">
        <v>7</v>
      </c>
      <c r="G215" s="247" t="s">
        <v>1125</v>
      </c>
      <c r="H215" s="233" t="s"/>
      <c r="I215" s="241" t="s">
        <v>1126</v>
      </c>
      <c r="J215" s="252">
        <f>=IF(LEN(I215)&gt;0,LEN(I215),"")</f>
        <v>47</v>
      </c>
      <c r="K215" s="89" t="s">
        <v>202</v>
      </c>
      <c r="L215" s="68" t="s">
        <v>1671</v>
      </c>
      <c r="M215" s="89" t="s">
        <v>1127</v>
      </c>
      <c r="N215" s="69" t="s">
        <v>116</v>
      </c>
      <c r="O215" s="89" t="s">
        <v>82</v>
      </c>
    </row>
    <row r="216" spans="1:15">
      <c r="A216" s="231" t="s">
        <v>1128</v>
      </c>
      <c r="B216" s="69">
        <v>1</v>
      </c>
      <c r="C216" s="605" t="s">
        <v>1129</v>
      </c>
      <c r="D216" s="89" t="s">
        <v>1130</v>
      </c>
      <c r="E216" s="236" t="str">
        <f>=HYPERLINK(_xlfn.CONCAT("pzplus.tck.mn/db?type=",A216,"&amp;variant=no"),IF(D216&lt;&gt;0,D216,A216))</f>
        <v>绳索缝纫</v>
      </c>
      <c r="F216" s="247">
        <v>7</v>
      </c>
      <c r="G216" s="247" t="s">
        <v>1125</v>
      </c>
      <c r="H216" s="233" t="s"/>
      <c r="I216" s="241" t="s">
        <v>1131</v>
      </c>
      <c r="J216" s="252">
        <f>=IF(LEN(I216)&gt;0,LEN(I216),"")</f>
        <v>47</v>
      </c>
      <c r="K216" s="89" t="s">
        <v>202</v>
      </c>
      <c r="L216" s="101" t="s">
        <v>1562</v>
      </c>
      <c r="M216" s="89" t="s">
        <v>134</v>
      </c>
      <c r="N216" s="69">
        <v>2017</v>
      </c>
      <c r="O216" s="89" t="s">
        <v>94</v>
      </c>
    </row>
    <row r="217" spans="1:15">
      <c r="A217" s="231" t="s">
        <v>1132</v>
      </c>
      <c r="B217" s="238">
        <v>1</v>
      </c>
      <c r="C217" s="605" t="s">
        <v>1133</v>
      </c>
      <c r="D217" s="89" t="s">
        <v>1134</v>
      </c>
      <c r="E217" s="236" t="str">
        <f>=HYPERLINK(_xlfn.CONCAT("pzplus.tck.mn/db?type=",A217,"&amp;variant=no"),IF(D217&lt;&gt;0,D217,A217))</f>
        <v>环环相扣</v>
      </c>
      <c r="F217" s="247">
        <v>7</v>
      </c>
      <c r="G217" s="247" t="s">
        <v>1108</v>
      </c>
      <c r="H217" s="233" t="s"/>
      <c r="I217" s="241" t="s">
        <v>1135</v>
      </c>
      <c r="J217" s="344">
        <f>=IF(LEN(I217)&gt;0,LEN(I217),"")</f>
        <v>51</v>
      </c>
      <c r="K217" s="89" t="s">
        <v>115</v>
      </c>
      <c r="L217" s="89" t="s">
        <v>74</v>
      </c>
      <c r="M217" s="89" t="s">
        <v>1024</v>
      </c>
      <c r="N217" s="69">
        <v>2011</v>
      </c>
      <c r="O217" s="89" t="s">
        <v>93</v>
      </c>
    </row>
    <row r="218" spans="1:15">
      <c r="A218" s="231" t="s">
        <v>1136</v>
      </c>
      <c r="B218" s="69">
        <v>1</v>
      </c>
      <c r="C218" s="605" t="s">
        <v>1137</v>
      </c>
      <c r="D218" s="89" t="s">
        <v>1138</v>
      </c>
      <c r="E218" s="236" t="str">
        <f>=HYPERLINK(_xlfn.CONCAT("pzplus.tck.mn/db?type=",A218,"&amp;variant=no"),IF(D218&lt;&gt;0,D218,A218))</f>
        <v>仙人指区</v>
      </c>
      <c r="F218" s="247">
        <v>7</v>
      </c>
      <c r="G218" s="247" t="s">
        <v>1108</v>
      </c>
      <c r="H218" s="233" t="s"/>
      <c r="I218" s="241" t="s">
        <v>1139</v>
      </c>
      <c r="J218" s="345">
        <f>=IF(LEN(I218)&gt;0,LEN(I218),"")</f>
        <v>61</v>
      </c>
      <c r="K218" s="89" t="s">
        <v>390</v>
      </c>
      <c r="L218" s="89" t="s">
        <v>1140</v>
      </c>
      <c r="M218" s="373" t="s">
        <v>81</v>
      </c>
      <c r="N218" s="69">
        <v>2005</v>
      </c>
      <c r="O218" s="68" t="s">
        <v>1141</v>
      </c>
    </row>
    <row r="219" spans="1:15">
      <c r="A219" s="231" t="s">
        <v>1142</v>
      </c>
      <c r="B219" s="69">
        <v>1</v>
      </c>
      <c r="C219" s="605" t="s">
        <v>1143</v>
      </c>
      <c r="D219" s="68" t="s">
        <v>1144</v>
      </c>
      <c r="E219" s="236" t="str">
        <f>=HYPERLINK(_xlfn.CONCAT("pzplus.tck.mn/db?type=",A219,"&amp;variant=no"),IF(D219&lt;&gt;0,D219,A219))</f>
        <v>仙人指邻</v>
      </c>
      <c r="F219" s="247">
        <v>7</v>
      </c>
      <c r="G219" s="247" t="s">
        <v>1108</v>
      </c>
      <c r="H219" s="233" t="s"/>
      <c r="I219" s="241" t="s">
        <v>1145</v>
      </c>
      <c r="J219" s="346">
        <f>=IF(LEN(I219)&gt;0,LEN(I219),"")</f>
        <v>62</v>
      </c>
      <c r="K219" s="68" t="s">
        <v>390</v>
      </c>
      <c r="L219" s="68" t="s">
        <v>1563</v>
      </c>
      <c r="M219" s="373" t="s">
        <v>1050</v>
      </c>
      <c r="N219" s="69">
        <v>2006</v>
      </c>
      <c r="O219" s="89" t="s"/>
    </row>
    <row r="220" spans="1:15">
      <c r="A220" s="231" t="s">
        <v>1146</v>
      </c>
      <c r="B220" s="69">
        <v>1</v>
      </c>
      <c r="C220" s="605" t="s">
        <v>1147</v>
      </c>
      <c r="D220" s="68" t="s">
        <v>1148</v>
      </c>
      <c r="E220" s="236" t="str">
        <f>=HYPERLINK(_xlfn.CONCAT("pzplus.tck.mn/db?type=",A220,"&amp;variant=no"),IF(D220&lt;&gt;0,D220,A220))</f>
        <v>管道回路</v>
      </c>
      <c r="F220" s="247">
        <v>7</v>
      </c>
      <c r="G220" s="247" t="s">
        <v>1108</v>
      </c>
      <c r="H220" s="233" t="s"/>
      <c r="I220" s="241" t="s">
        <v>1149</v>
      </c>
      <c r="J220" s="347">
        <f>=IF(LEN(I220)&gt;0,LEN(I220),"")</f>
        <v>63</v>
      </c>
      <c r="K220" s="68" t="s">
        <v>109</v>
      </c>
      <c r="L220" s="68" t="s">
        <v>1564</v>
      </c>
      <c r="M220" s="373" t="s">
        <v>936</v>
      </c>
      <c r="N220" s="69">
        <v>1993</v>
      </c>
      <c r="O220" s="68" t="s">
        <v>93</v>
      </c>
    </row>
    <row r="221" spans="1:15">
      <c r="A221" s="231" t="s">
        <v>1150</v>
      </c>
      <c r="B221" s="238">
        <v>1</v>
      </c>
      <c r="C221" s="605" t="s">
        <v>1151</v>
      </c>
      <c r="D221" s="68" t="s">
        <v>1152</v>
      </c>
      <c r="E221" s="236" t="str">
        <f>=HYPERLINK(_xlfn.CONCAT("pzplus.tck.mn/db?type=",A221,"&amp;variant=no"),IF(D221&lt;&gt;0,D221,A221))</f>
        <v>极大回路</v>
      </c>
      <c r="F221" s="247">
        <v>7</v>
      </c>
      <c r="G221" s="247" t="s">
        <v>1108</v>
      </c>
      <c r="H221" s="233" t="s"/>
      <c r="I221" s="241" t="s">
        <v>1153</v>
      </c>
      <c r="J221" s="348">
        <f>=IF(LEN(I221)&gt;0,LEN(I221),"")</f>
        <v>70</v>
      </c>
      <c r="K221" s="68" t="s">
        <v>180</v>
      </c>
      <c r="L221" s="68" t="s">
        <v>1565</v>
      </c>
      <c r="M221" s="373" t="s">
        <v>81</v>
      </c>
      <c r="N221" s="69">
        <v>2003</v>
      </c>
      <c r="O221" s="68" t="s">
        <v>94</v>
      </c>
    </row>
    <row r="222" spans="1:15">
      <c r="A222" s="231" t="s">
        <v>1154</v>
      </c>
      <c r="B222" s="69">
        <v>1</v>
      </c>
      <c r="C222" s="605" t="s">
        <v>1155</v>
      </c>
      <c r="D222" s="68" t="s">
        <v>1156</v>
      </c>
      <c r="E222" s="236" t="str">
        <f>=HYPERLINK(_xlfn.CONCAT("pzplus.tck.mn/db?type=",A222,"&amp;variant=no"),IF(D222&lt;&gt;0,D222,A222))</f>
        <v>仙人指路</v>
      </c>
      <c r="F222" s="247">
        <v>7</v>
      </c>
      <c r="G222" s="247" t="s">
        <v>1108</v>
      </c>
      <c r="H222" s="233" t="s"/>
      <c r="I222" s="241" t="s">
        <v>1157</v>
      </c>
      <c r="J222" s="349">
        <f>=IF(LEN(I222)&gt;0,LEN(I222),"")</f>
        <v>72</v>
      </c>
      <c r="K222" s="68" t="s">
        <v>390</v>
      </c>
      <c r="L222" s="68" t="s">
        <v>1566</v>
      </c>
      <c r="M222" s="373" t="s">
        <v>1158</v>
      </c>
      <c r="N222" s="69">
        <v>1999</v>
      </c>
      <c r="O222" s="68" t="s">
        <v>76</v>
      </c>
    </row>
    <row r="223" spans="1:15">
      <c r="A223" s="231" t="s">
        <v>1159</v>
      </c>
      <c r="B223" s="260">
        <v>0.8</v>
      </c>
      <c r="C223" s="605" t="s">
        <v>1160</v>
      </c>
      <c r="D223" s="68" t="s">
        <v>1161</v>
      </c>
      <c r="E223" s="236" t="str">
        <f>=HYPERLINK(_xlfn.CONCAT("pzplus.tck.mn/db?type=",A223,"&amp;variant=no"),IF(D223&lt;&gt;0,D223,A223))</f>
        <v>数墙回路</v>
      </c>
      <c r="F223" s="247">
        <v>7</v>
      </c>
      <c r="G223" s="247" t="s">
        <v>1108</v>
      </c>
      <c r="H223" s="233" t="s"/>
      <c r="I223" s="241" t="s">
        <v>1162</v>
      </c>
      <c r="J223" s="350">
        <f>=IF(LEN(I223)&gt;0,LEN(I223),"")</f>
        <v>73</v>
      </c>
      <c r="K223" s="68" t="s">
        <v>692</v>
      </c>
      <c r="L223" s="68" t="s">
        <v>74</v>
      </c>
      <c r="M223" s="89" t="s">
        <v>1163</v>
      </c>
      <c r="N223" s="69">
        <v>1996</v>
      </c>
      <c r="O223" s="89" t="s">
        <v>82</v>
      </c>
    </row>
    <row r="224" spans="1:15">
      <c r="A224" s="68" t="s">
        <v>1164</v>
      </c>
      <c r="B224" s="69">
        <v>1</v>
      </c>
      <c r="C224" s="605" t="s">
        <v>1165</v>
      </c>
      <c r="D224" s="89" t="s">
        <v>1166</v>
      </c>
      <c r="E224" s="236" t="str">
        <f>=HYPERLINK(_xlfn.CONCAT("pzplus.tck.mn/db?type=",A224,"&amp;variant=no"),IF(D224&lt;&gt;0,D224,A224))</f>
        <v>铁轨</v>
      </c>
      <c r="F224" s="247">
        <v>7</v>
      </c>
      <c r="G224" s="247" t="s">
        <v>1108</v>
      </c>
      <c r="H224" s="233" t="s"/>
      <c r="I224" s="241" t="s">
        <v>1167</v>
      </c>
      <c r="J224" s="351">
        <f>=IF(LEN(I224)&gt;0,LEN(I224),"")</f>
        <v>74</v>
      </c>
      <c r="K224" s="89" t="s">
        <v>229</v>
      </c>
      <c r="L224" s="68" t="s">
        <v>74</v>
      </c>
      <c r="M224" s="89" t="s">
        <v>1168</v>
      </c>
      <c r="N224" s="69">
        <v>2000</v>
      </c>
      <c r="O224" s="89" t="s">
        <v>94</v>
      </c>
    </row>
    <row r="225" spans="1:15">
      <c r="A225" s="231" t="s">
        <v>1169</v>
      </c>
      <c r="B225" s="251">
        <v>0</v>
      </c>
      <c r="C225" s="605" t="s">
        <v>1170</v>
      </c>
      <c r="D225" s="89" t="s">
        <v>1171</v>
      </c>
      <c r="E225" s="236" t="str">
        <f>=HYPERLINK(_xlfn.CONCAT("pzplus.tck.mn/db?type=",A225,"&amp;variant=no"),IF(D225&lt;&gt;0,D225,A225))</f>
        <v>一笔画</v>
      </c>
      <c r="F225" s="247">
        <v>7</v>
      </c>
      <c r="G225" s="247" t="s">
        <v>1125</v>
      </c>
      <c r="H225" s="233" t="s"/>
      <c r="I225" s="241" t="s">
        <v>1172</v>
      </c>
      <c r="J225" s="352">
        <f>=IF(LEN(I225)&gt;0,LEN(I225),"")</f>
        <v>75</v>
      </c>
      <c r="K225" s="68" t="s">
        <v>73</v>
      </c>
      <c r="L225" s="68" t="s">
        <v>1567</v>
      </c>
      <c r="M225" s="373" t="s">
        <v>1173</v>
      </c>
      <c r="N225" s="69" t="s">
        <v>1174</v>
      </c>
      <c r="O225" s="68" t="s">
        <v>308</v>
      </c>
    </row>
    <row r="226" spans="1:15">
      <c r="A226" s="231" t="s">
        <v>1175</v>
      </c>
      <c r="B226" s="69">
        <v>1</v>
      </c>
      <c r="C226" s="605" t="s">
        <v>1176</v>
      </c>
      <c r="D226" s="68" t="s">
        <v>1177</v>
      </c>
      <c r="E226" s="236" t="str">
        <f>=HYPERLINK(_xlfn.CONCAT("pzplus.tck.mn/db?type=",A226,"&amp;variant=no"),IF(D226&lt;&gt;0,D226,A226))</f>
        <v>冰宫回路</v>
      </c>
      <c r="F226" s="247">
        <v>7</v>
      </c>
      <c r="G226" s="247" t="s">
        <v>1108</v>
      </c>
      <c r="H226" s="233" t="s"/>
      <c r="I226" s="241" t="s">
        <v>1178</v>
      </c>
      <c r="J226" s="353">
        <f>=IF(LEN(I226)&gt;0,LEN(I226),"")</f>
        <v>78</v>
      </c>
      <c r="K226" s="68" t="s">
        <v>390</v>
      </c>
      <c r="L226" s="68" t="s">
        <v>1179</v>
      </c>
      <c r="M226" s="373" t="s">
        <v>1180</v>
      </c>
      <c r="N226" s="69">
        <v>2006</v>
      </c>
      <c r="O226" s="68" t="s">
        <v>93</v>
      </c>
    </row>
    <row r="227" spans="1:15">
      <c r="A227" s="231" t="s">
        <v>1181</v>
      </c>
      <c r="B227" s="251">
        <v>0</v>
      </c>
      <c r="C227" s="605" t="s">
        <v>1182</v>
      </c>
      <c r="D227" s="68" t="s">
        <v>1183</v>
      </c>
      <c r="E227" s="236" t="str">
        <f>=HYPERLINK(_xlfn.CONCAT("pzplus.tck.mn/db?type=",A227,"&amp;variant=no"),IF(D227&lt;&gt;0,D227,A227))</f>
        <v>晕头转向</v>
      </c>
      <c r="F227" s="247">
        <v>7</v>
      </c>
      <c r="G227" s="247" t="s">
        <v>1108</v>
      </c>
      <c r="H227" s="233" t="s"/>
      <c r="I227" s="241" t="s">
        <v>1184</v>
      </c>
      <c r="J227" s="353">
        <f>=IF(LEN(I227)&gt;0,LEN(I227),"")</f>
        <v>78</v>
      </c>
      <c r="K227" s="68" t="s">
        <v>73</v>
      </c>
      <c r="L227" s="68" t="s">
        <v>74</v>
      </c>
      <c r="M227" s="89" t="s"/>
      <c r="N227" s="76" t="s"/>
      <c r="O227" s="89" t="s"/>
    </row>
    <row r="228" spans="1:15">
      <c r="A228" s="231" t="s">
        <v>1185</v>
      </c>
      <c r="B228" s="238">
        <v>1</v>
      </c>
      <c r="C228" s="605" t="s">
        <v>1186</v>
      </c>
      <c r="D228" s="89" t="s">
        <v>1187</v>
      </c>
      <c r="E228" s="236" t="str">
        <f>=HYPERLINK(_xlfn.CONCAT("pzplus.tck.mn/db?type=",A228,"&amp;variant=no"),IF(D228&lt;&gt;0,D228,A228))</f>
        <v>满或空</v>
      </c>
      <c r="F228" s="247">
        <v>7</v>
      </c>
      <c r="G228" s="247" t="s">
        <v>1108</v>
      </c>
      <c r="H228" s="233" t="s"/>
      <c r="I228" s="241" t="s">
        <v>1188</v>
      </c>
      <c r="J228" s="354">
        <f>=IF(LEN(I228)&gt;0,LEN(I228),"")</f>
        <v>79</v>
      </c>
      <c r="K228" s="89" t="s">
        <v>73</v>
      </c>
      <c r="L228" s="89" t="s">
        <v>74</v>
      </c>
      <c r="M228" s="89" t="s">
        <v>81</v>
      </c>
      <c r="N228" s="69">
        <v>2003</v>
      </c>
      <c r="O228" s="89" t="s">
        <v>94</v>
      </c>
    </row>
    <row r="229" spans="1:15">
      <c r="A229" s="231" t="s">
        <v>1189</v>
      </c>
      <c r="B229" s="69">
        <v>1</v>
      </c>
      <c r="C229" s="605" t="s">
        <v>1190</v>
      </c>
      <c r="D229" s="89" t="s">
        <v>1191</v>
      </c>
      <c r="E229" s="236" t="str">
        <f>=HYPERLINK(_xlfn.CONCAT("pzplus.tck.mn/db?type=",A229,"&amp;variant=no"),IF(D229&lt;&gt;0,D229,A229))</f>
        <v>四向回路</v>
      </c>
      <c r="F229" s="247">
        <v>7</v>
      </c>
      <c r="G229" s="247" t="s">
        <v>1108</v>
      </c>
      <c r="H229" s="233" t="s"/>
      <c r="I229" s="241" t="s">
        <v>1192</v>
      </c>
      <c r="J229" s="354">
        <f>=IF(LEN(I229)&gt;0,LEN(I229),"")</f>
        <v>79</v>
      </c>
      <c r="K229" s="89" t="s">
        <v>115</v>
      </c>
      <c r="L229" s="68" t="s">
        <v>1568</v>
      </c>
      <c r="M229" s="89" t="s">
        <v>1193</v>
      </c>
      <c r="N229" s="69">
        <v>2017</v>
      </c>
      <c r="O229" s="89" t="s">
        <v>94</v>
      </c>
    </row>
    <row r="230" spans="1:15">
      <c r="A230" s="231" t="s">
        <v>1194</v>
      </c>
      <c r="B230" s="251">
        <v>0</v>
      </c>
      <c r="C230" s="605" t="s">
        <v>1195</v>
      </c>
      <c r="D230" s="89" t="s">
        <v>1196</v>
      </c>
      <c r="E230" s="236" t="str">
        <f>=HYPERLINK(_xlfn.CONCAT("pzplus.tck.mn/db?type=",A230,"&amp;variant=no"),IF(D230&lt;&gt;0,D230,A230))</f>
        <v>双或无</v>
      </c>
      <c r="F230" s="247">
        <v>7</v>
      </c>
      <c r="G230" s="247" t="s">
        <v>1108</v>
      </c>
      <c r="H230" s="233" t="s"/>
      <c r="I230" s="241" t="s">
        <v>1197</v>
      </c>
      <c r="J230" s="355">
        <f>=IF(LEN(I230)&gt;0,LEN(I230),"")</f>
        <v>81</v>
      </c>
      <c r="K230" s="89" t="s">
        <v>73</v>
      </c>
      <c r="L230" s="68" t="s">
        <v>74</v>
      </c>
      <c r="M230" s="89" t="s"/>
      <c r="N230" s="76" t="s"/>
      <c r="O230" s="89" t="s"/>
    </row>
    <row r="231" spans="1:15">
      <c r="A231" s="231" t="s">
        <v>1198</v>
      </c>
      <c r="B231" s="69">
        <v>1</v>
      </c>
      <c r="C231" s="605" t="s">
        <v>1199</v>
      </c>
      <c r="D231" s="89" t="s">
        <v>1200</v>
      </c>
      <c r="E231" s="236" t="str">
        <f>=HYPERLINK(_xlfn.CONCAT("pzplus.tck.mn/db?type=",A231,"&amp;variant=no"),IF(D231&lt;&gt;0,D231,A231))</f>
        <v>周游列国</v>
      </c>
      <c r="F231" s="247">
        <v>7</v>
      </c>
      <c r="G231" s="247" t="s">
        <v>1108</v>
      </c>
      <c r="H231" s="233" t="s"/>
      <c r="I231" s="241" t="s">
        <v>1201</v>
      </c>
      <c r="J231" s="356">
        <f>=IF(LEN(I231)&gt;0,LEN(I231),"")</f>
        <v>83</v>
      </c>
      <c r="K231" s="89" t="s">
        <v>73</v>
      </c>
      <c r="L231" s="131" t="s">
        <v>74</v>
      </c>
      <c r="M231" s="89" t="s">
        <v>1202</v>
      </c>
      <c r="N231" s="69">
        <v>1997</v>
      </c>
      <c r="O231" s="89" t="s">
        <v>76</v>
      </c>
    </row>
    <row r="232" spans="1:15">
      <c r="A232" s="231" t="s">
        <v>1203</v>
      </c>
      <c r="B232" s="238">
        <v>1</v>
      </c>
      <c r="C232" s="605" t="s">
        <v>1204</v>
      </c>
      <c r="D232" s="89" t="s">
        <v>1205</v>
      </c>
      <c r="E232" s="236" t="str">
        <f>=HYPERLINK(_xlfn.CONCAT("pzplus.tck.mn/db?type=",A232,"&amp;variant=no"),IF(D232&lt;&gt;0,D232,A232))</f>
        <v>轨道库</v>
      </c>
      <c r="F232" s="247">
        <v>7</v>
      </c>
      <c r="G232" s="247" t="s">
        <v>1108</v>
      </c>
      <c r="H232" s="233" t="s"/>
      <c r="I232" s="241" t="s">
        <v>1206</v>
      </c>
      <c r="J232" s="356">
        <f>=IF(LEN(I232)&gt;0,LEN(I232),"")</f>
        <v>83</v>
      </c>
      <c r="K232" s="89" t="s">
        <v>180</v>
      </c>
      <c r="L232" s="89" t="s">
        <v>1207</v>
      </c>
      <c r="M232" s="89" t="s">
        <v>971</v>
      </c>
      <c r="N232" s="69" t="s">
        <v>116</v>
      </c>
      <c r="O232" s="89" t="s">
        <v>94</v>
      </c>
    </row>
    <row r="233" spans="1:15">
      <c r="A233" s="231" t="s">
        <v>1208</v>
      </c>
      <c r="B233" s="69">
        <v>1</v>
      </c>
      <c r="C233" s="605" t="s">
        <v>1209</v>
      </c>
      <c r="D233" s="89" t="s">
        <v>1210</v>
      </c>
      <c r="E233" s="236" t="str">
        <f>=HYPERLINK(_xlfn.CONCAT("pzplus.tck.mn/db?type=",A233,"&amp;variant=no"),IF(D233&lt;&gt;0,D233,A233))</f>
        <v>套索</v>
      </c>
      <c r="F233" s="247">
        <v>7</v>
      </c>
      <c r="G233" s="247" t="s">
        <v>1108</v>
      </c>
      <c r="H233" s="233" t="s"/>
      <c r="I233" s="241" t="s">
        <v>1211</v>
      </c>
      <c r="J233" s="357">
        <f>=IF(LEN(I233)&gt;0,LEN(I233),"")</f>
        <v>85</v>
      </c>
      <c r="K233" s="68" t="s">
        <v>73</v>
      </c>
      <c r="L233" s="213" t="s">
        <v>1212</v>
      </c>
      <c r="M233" s="373" t="s">
        <v>296</v>
      </c>
      <c r="N233" s="69">
        <v>2008</v>
      </c>
      <c r="O233" s="68" t="s">
        <v>93</v>
      </c>
    </row>
    <row r="234" spans="1:15">
      <c r="A234" s="231" t="s">
        <v>1213</v>
      </c>
      <c r="B234" s="260">
        <v>0.8</v>
      </c>
      <c r="C234" s="605" t="s">
        <v>1214</v>
      </c>
      <c r="D234" s="68" t="s">
        <v>1215</v>
      </c>
      <c r="E234" s="236" t="str">
        <f>=HYPERLINK(_xlfn.CONCAT("pzplus.tck.mn/db?type=",A234,"&amp;variant=no"),IF(D234&lt;&gt;0,D234,A234))</f>
        <v>群岛之桥</v>
      </c>
      <c r="F234" s="247">
        <v>7</v>
      </c>
      <c r="G234" s="247" t="s">
        <v>1125</v>
      </c>
      <c r="H234" s="233" t="s"/>
      <c r="I234" s="241" t="s">
        <v>1216</v>
      </c>
      <c r="J234" s="358">
        <f>=IF(LEN(I234)&gt;0,LEN(I234),"")</f>
        <v>91</v>
      </c>
      <c r="K234" s="68" t="s">
        <v>109</v>
      </c>
      <c r="L234" s="68" t="s">
        <v>74</v>
      </c>
      <c r="M234" s="373" t="s">
        <v>264</v>
      </c>
      <c r="N234" s="69">
        <v>1995</v>
      </c>
      <c r="O234" s="68" t="s">
        <v>93</v>
      </c>
    </row>
    <row r="235" spans="1:15">
      <c r="A235" s="231" t="s">
        <v>1217</v>
      </c>
      <c r="B235" s="69">
        <v>1</v>
      </c>
      <c r="C235" s="605" t="s">
        <v>1218</v>
      </c>
      <c r="D235" s="68" t="s">
        <v>1219</v>
      </c>
      <c r="E235" s="236" t="str">
        <f>=HYPERLINK(_xlfn.CONCAT("pzplus.tck.mn/db?type=",A235,"&amp;variant=no"),IF(D235&lt;&gt;0,D235,A235))</f>
        <v>排球/数弯</v>
      </c>
      <c r="F235" s="247">
        <v>7</v>
      </c>
      <c r="G235" s="247" t="s">
        <v>1125</v>
      </c>
      <c r="H235" s="233" t="s"/>
      <c r="I235" s="241" t="s">
        <v>1220</v>
      </c>
      <c r="J235" s="271">
        <f>=IF(LEN(I235)&gt;0,LEN(I235),"")</f>
        <v>92</v>
      </c>
      <c r="K235" s="68" t="s">
        <v>73</v>
      </c>
      <c r="L235" s="68" t="s">
        <v>74</v>
      </c>
      <c r="M235" s="373" t="s">
        <v>673</v>
      </c>
      <c r="N235" s="69">
        <v>1998</v>
      </c>
      <c r="O235" s="68" t="s">
        <v>94</v>
      </c>
    </row>
    <row r="236" spans="1:15">
      <c r="A236" s="68" t="s">
        <v>1221</v>
      </c>
      <c r="B236" s="69">
        <v>1</v>
      </c>
      <c r="C236" s="605" t="s">
        <v>1222</v>
      </c>
      <c r="D236" s="68" t="s">
        <v>1223</v>
      </c>
      <c r="E236" s="236" t="str">
        <f>=HYPERLINK(_xlfn.CONCAT("pzplus.tck.mn/db?type=",A236,"&amp;variant=no"),IF(D236&lt;&gt;0,D236,A236))</f>
        <v>黑暗回路</v>
      </c>
      <c r="F236" s="247">
        <v>7</v>
      </c>
      <c r="G236" s="247" t="s">
        <v>1108</v>
      </c>
      <c r="H236" s="233" t="s"/>
      <c r="I236" s="241" t="s">
        <v>1224</v>
      </c>
      <c r="J236" s="359">
        <f>=IF(LEN(I236)&gt;0,LEN(I236),"")</f>
        <v>100</v>
      </c>
      <c r="K236" s="68" t="s">
        <v>229</v>
      </c>
      <c r="L236" s="68" t="s">
        <v>1569</v>
      </c>
      <c r="M236" s="89" t="s"/>
      <c r="N236" s="76" t="s"/>
      <c r="O236" s="89" t="s"/>
    </row>
    <row r="237" spans="1:15">
      <c r="A237" s="231" t="s">
        <v>1225</v>
      </c>
      <c r="B237" s="69">
        <v>1</v>
      </c>
      <c r="C237" s="605" t="s">
        <v>1226</v>
      </c>
      <c r="D237" s="89" t="s">
        <v>1227</v>
      </c>
      <c r="E237" s="236" t="str">
        <f>=HYPERLINK(_xlfn.CONCAT("pzplus.tck.mn/db?type=",A237,"&amp;variant=no"),IF(D237&lt;&gt;0,D237,A237))</f>
        <v>曲线数据</v>
      </c>
      <c r="F237" s="247">
        <v>7</v>
      </c>
      <c r="G237" s="247" t="s">
        <v>1125</v>
      </c>
      <c r="H237" s="233" t="s"/>
      <c r="I237" s="241" t="s">
        <v>1228</v>
      </c>
      <c r="J237" s="360">
        <f>=IF(LEN(I237)&gt;0,LEN(I237),"")</f>
        <v>101</v>
      </c>
      <c r="K237" s="89" t="s">
        <v>115</v>
      </c>
      <c r="L237" s="89" t="s">
        <v>74</v>
      </c>
      <c r="M237" s="89" t="s">
        <v>1229</v>
      </c>
      <c r="N237" s="69">
        <v>2002</v>
      </c>
      <c r="O237" s="89" t="s">
        <v>94</v>
      </c>
    </row>
    <row r="238" spans="1:15">
      <c r="A238" s="231" t="s">
        <v>1230</v>
      </c>
      <c r="B238" s="69">
        <v>1</v>
      </c>
      <c r="C238" s="605" t="s">
        <v>1231</v>
      </c>
      <c r="D238" s="89" t="s">
        <v>1232</v>
      </c>
      <c r="E238" s="236" t="str">
        <f>=HYPERLINK(_xlfn.CONCAT("pzplus.tck.mn/db?type=",A238,"&amp;variant=no"),IF(D238&lt;&gt;0,D238,A238))</f>
        <v>冰宫巡游</v>
      </c>
      <c r="F238" s="247">
        <v>7</v>
      </c>
      <c r="G238" s="247" t="s">
        <v>1125</v>
      </c>
      <c r="H238" s="233" t="s"/>
      <c r="I238" s="241" t="s">
        <v>1233</v>
      </c>
      <c r="J238" s="274">
        <f>=IF(LEN(I238)&gt;0,LEN(I238),"")</f>
        <v>106</v>
      </c>
      <c r="K238" s="89" t="s">
        <v>1234</v>
      </c>
      <c r="L238" s="68" t="s">
        <v>1570</v>
      </c>
      <c r="M238" s="89" t="s">
        <v>627</v>
      </c>
      <c r="N238" s="69">
        <v>2009</v>
      </c>
      <c r="O238" s="89" t="s">
        <v>93</v>
      </c>
    </row>
    <row r="239" spans="1:15">
      <c r="A239" s="231" t="s">
        <v>1235</v>
      </c>
      <c r="B239" s="69">
        <v>1</v>
      </c>
      <c r="C239" s="605" t="s">
        <v>1236</v>
      </c>
      <c r="D239" s="89" t="s">
        <v>1237</v>
      </c>
      <c r="E239" s="236" t="str">
        <f>=HYPERLINK(_xlfn.CONCAT("pzplus.tck.mn/db?type=",A239,"&amp;variant=no"),IF(D239&lt;&gt;0,D239,A239))</f>
        <v>渔夫</v>
      </c>
      <c r="F239" s="247">
        <v>7</v>
      </c>
      <c r="G239" s="247" t="s">
        <v>1125</v>
      </c>
      <c r="H239" s="233" t="s"/>
      <c r="I239" s="241" t="s">
        <v>1238</v>
      </c>
      <c r="J239" s="361">
        <f>=IF(LEN(I239)&gt;0,LEN(I239),"")</f>
        <v>116</v>
      </c>
      <c r="K239" s="89" t="s">
        <v>73</v>
      </c>
      <c r="L239" s="89" t="s">
        <v>74</v>
      </c>
      <c r="M239" s="89" t="s">
        <v>1239</v>
      </c>
      <c r="N239" s="69">
        <v>1999</v>
      </c>
      <c r="O239" s="89" t="s">
        <v>94</v>
      </c>
    </row>
  </sheetData>
  <conditionalFormatting sqref="J2 J4:J203">
    <cfRule type="colorScale" priority="1">
      <colorScale>
        <cfvo type="min"/>
        <cfvo type="percentile" val="50"/>
        <cfvo type="max"/>
        <color rgb="FF63BE7B"/>
        <color rgb="FFFFEB84"/>
        <color rgb="FFF8696B"/>
      </colorScale>
    </cfRule>
  </conditionalFormatting>
</worksheet>
</file>

<file path=xl/worksheets/sheet3.xml><?xml version="1.0" encoding="utf-8"?>
<worksheet xmlns:r="http://schemas.openxmlformats.org/officeDocument/2006/relationships" xmlns="http://schemas.openxmlformats.org/spreadsheetml/2006/main">
  <sheetPr codeName="每日纸笔存档">
    <tabColor/>
  </sheetPr>
  <dimension ref="I103"/>
  <sheetViews>
    <sheetView showGridLines="1" workbookViewId="0">
      <pane xSplit="4" ySplit="1" topLeftCell="E2" state="frozen"/>
    </sheetView>
  </sheetViews>
  <sheetFormatPr baseColWidth="13" defaultRowHeight="18" customHeight="1"/>
  <cols>
    <col min="1" max="1" width="5.71094" customWidth="1"/>
    <col min="2" max="2" width="10.2109" customWidth="1"/>
    <col min="3" max="3" width="3.01172" customWidth="1"/>
    <col min="4" max="4" width="10.9023" customWidth="1"/>
    <col min="5" max="5" width="56.3828" customWidth="1"/>
    <col min="6" max="6" width="15.6406" style="287" customWidth="1"/>
    <col min="7" max="8" width="6.61328" style="287" customWidth="1"/>
    <col min="9" max="9" width="29.1641" style="287" customWidth="1"/>
  </cols>
  <sheetData>
    <row r="1" spans="1:9">
      <c r="A1" s="276" t="s"/>
      <c r="B1" s="71" t="s">
        <v>1240</v>
      </c>
      <c r="C1" s="276" t="s"/>
      <c r="D1" s="71" t="s">
        <v>1</v>
      </c>
      <c r="E1" s="71" t="s">
        <v>1241</v>
      </c>
      <c r="F1" s="71" t="s">
        <v>1242</v>
      </c>
      <c r="G1" s="277" t="s">
        <v>1243</v>
      </c>
      <c r="H1" s="277" t="s">
        <v>1244</v>
      </c>
      <c r="I1" s="278" t="s">
        <v>1245</v>
      </c>
    </row>
    <row r="2" spans="1:9">
      <c r="A2" s="62">
        <v>100</v>
      </c>
      <c r="B2" s="279">
        <v>45989</v>
      </c>
      <c r="C2" s="204" t="s">
        <v>1246</v>
      </c>
      <c r="D2" s="204" t="s">
        <v>17</v>
      </c>
      <c r="E2" s="62" t="s">
        <v>1571</v>
      </c>
      <c r="F2" s="62" t="s">
        <v>1247</v>
      </c>
      <c r="G2" s="280" t="s">
        <v>1248</v>
      </c>
      <c r="H2" s="280" t="s">
        <v>1249</v>
      </c>
      <c r="I2" s="281" t="s">
        <v>1250</v>
      </c>
    </row>
    <row r="3" spans="1:9">
      <c r="A3" s="62">
        <v>99</v>
      </c>
      <c r="B3" s="279">
        <v>45988</v>
      </c>
      <c r="C3" s="183" t="s">
        <v>1251</v>
      </c>
      <c r="D3" s="183" t="s">
        <v>14</v>
      </c>
      <c r="E3" s="62" t="s">
        <v>1572</v>
      </c>
      <c r="F3" s="62" t="s">
        <v>1252</v>
      </c>
      <c r="G3" s="280" t="s">
        <v>1253</v>
      </c>
      <c r="H3" s="280" t="s">
        <v>1254</v>
      </c>
      <c r="I3" s="281" t="s">
        <v>1255</v>
      </c>
    </row>
    <row r="4" spans="1:9">
      <c r="A4" s="62">
        <v>98</v>
      </c>
      <c r="B4" s="279">
        <v>45987</v>
      </c>
      <c r="C4" s="173" t="s">
        <v>1256</v>
      </c>
      <c r="D4" s="173" t="s">
        <v>1257</v>
      </c>
      <c r="E4" s="62" t="s">
        <v>1573</v>
      </c>
      <c r="F4" s="62" t="s">
        <v>1258</v>
      </c>
      <c r="G4" s="280" t="s">
        <v>1259</v>
      </c>
      <c r="H4" s="280" t="s">
        <v>1260</v>
      </c>
      <c r="I4" s="281" t="s">
        <v>1261</v>
      </c>
    </row>
    <row r="5" spans="1:9">
      <c r="A5" s="62">
        <v>97</v>
      </c>
      <c r="B5" s="279">
        <v>45986</v>
      </c>
      <c r="C5" s="119" t="s">
        <v>1262</v>
      </c>
      <c r="D5" s="119" t="s">
        <v>8</v>
      </c>
      <c r="E5" s="62" t="s">
        <v>1574</v>
      </c>
      <c r="F5" s="62" t="s">
        <v>1263</v>
      </c>
      <c r="G5" s="280" t="s">
        <v>1264</v>
      </c>
      <c r="H5" s="280" t="s">
        <v>1265</v>
      </c>
      <c r="I5" s="281" t="s">
        <v>1266</v>
      </c>
    </row>
    <row r="6" spans="1:9">
      <c r="A6" s="62">
        <v>96</v>
      </c>
      <c r="B6" s="279">
        <v>45985</v>
      </c>
      <c r="C6" s="82" t="s">
        <v>1267</v>
      </c>
      <c r="D6" s="82" t="s">
        <v>6</v>
      </c>
      <c r="E6" s="62" t="s">
        <v>1575</v>
      </c>
      <c r="F6" s="62" t="s">
        <v>1268</v>
      </c>
      <c r="G6" s="280" t="s">
        <v>1265</v>
      </c>
      <c r="H6" s="280" t="s">
        <v>1269</v>
      </c>
      <c r="I6" s="281" t="s">
        <v>1270</v>
      </c>
    </row>
    <row r="7" spans="1:9">
      <c r="A7" s="62">
        <v>95</v>
      </c>
      <c r="B7" s="279">
        <v>45984</v>
      </c>
      <c r="C7" s="282" t="s">
        <v>1271</v>
      </c>
      <c r="D7" s="282" t="s">
        <v>21</v>
      </c>
      <c r="E7" s="62" t="s">
        <v>1576</v>
      </c>
      <c r="F7" s="62" t="s">
        <v>104</v>
      </c>
      <c r="G7" s="280" t="s">
        <v>1265</v>
      </c>
      <c r="H7" s="280" t="s">
        <v>1269</v>
      </c>
      <c r="I7" s="281" t="s">
        <v>1272</v>
      </c>
    </row>
    <row r="8" spans="1:9">
      <c r="A8" s="62">
        <v>94</v>
      </c>
      <c r="B8" s="279">
        <v>45983</v>
      </c>
      <c r="C8" s="219" t="s">
        <v>1273</v>
      </c>
      <c r="D8" s="219" t="s">
        <v>19</v>
      </c>
      <c r="E8" s="62" t="s">
        <v>1577</v>
      </c>
      <c r="F8" s="62" t="s">
        <v>1274</v>
      </c>
      <c r="G8" s="280" t="s">
        <v>1265</v>
      </c>
      <c r="H8" s="280" t="s">
        <v>1269</v>
      </c>
      <c r="I8" s="281" t="s">
        <v>1275</v>
      </c>
    </row>
    <row r="9" spans="1:9">
      <c r="A9" s="62">
        <v>93</v>
      </c>
      <c r="B9" s="279">
        <v>45982</v>
      </c>
      <c r="C9" s="204" t="s">
        <v>1246</v>
      </c>
      <c r="D9" s="204" t="s">
        <v>17</v>
      </c>
      <c r="E9" s="62" t="s">
        <v>1578</v>
      </c>
      <c r="F9" s="62" t="s">
        <v>444</v>
      </c>
      <c r="G9" s="280" t="s">
        <v>1248</v>
      </c>
      <c r="H9" s="280" t="s">
        <v>1249</v>
      </c>
      <c r="I9" s="281" t="s">
        <v>1276</v>
      </c>
    </row>
    <row r="10" spans="1:9">
      <c r="A10" s="62">
        <v>92</v>
      </c>
      <c r="B10" s="279">
        <v>45981</v>
      </c>
      <c r="C10" s="183" t="s">
        <v>1251</v>
      </c>
      <c r="D10" s="183" t="s">
        <v>14</v>
      </c>
      <c r="E10" s="62" t="s">
        <v>1579</v>
      </c>
      <c r="F10" s="62" t="s">
        <v>1277</v>
      </c>
      <c r="G10" s="280" t="s">
        <v>1278</v>
      </c>
      <c r="H10" s="280" t="s">
        <v>1279</v>
      </c>
      <c r="I10" s="281" t="s">
        <v>1280</v>
      </c>
    </row>
    <row r="11" spans="1:9">
      <c r="A11" s="62">
        <v>91</v>
      </c>
      <c r="B11" s="279">
        <v>45980</v>
      </c>
      <c r="C11" s="173" t="s">
        <v>1256</v>
      </c>
      <c r="D11" s="173" t="s">
        <v>1257</v>
      </c>
      <c r="E11" s="62" t="s">
        <v>1580</v>
      </c>
      <c r="F11" s="62" t="s">
        <v>1281</v>
      </c>
      <c r="G11" s="280" t="s">
        <v>1279</v>
      </c>
      <c r="H11" s="280" t="s">
        <v>1282</v>
      </c>
      <c r="I11" s="281" t="s">
        <v>1283</v>
      </c>
    </row>
    <row r="12" spans="1:9">
      <c r="A12" s="62">
        <v>90</v>
      </c>
      <c r="B12" s="279">
        <v>45979</v>
      </c>
      <c r="C12" s="119" t="s">
        <v>1262</v>
      </c>
      <c r="D12" s="119" t="s">
        <v>8</v>
      </c>
      <c r="E12" s="62" t="s">
        <v>1581</v>
      </c>
      <c r="F12" s="62" t="s">
        <v>1284</v>
      </c>
      <c r="G12" s="280" t="s">
        <v>1259</v>
      </c>
      <c r="H12" s="280" t="s">
        <v>1260</v>
      </c>
      <c r="I12" s="281" t="s">
        <v>1285</v>
      </c>
    </row>
    <row r="13" spans="1:9">
      <c r="A13" s="62">
        <v>89</v>
      </c>
      <c r="B13" s="279">
        <v>45978</v>
      </c>
      <c r="C13" s="82" t="s">
        <v>1267</v>
      </c>
      <c r="D13" s="82" t="s">
        <v>6</v>
      </c>
      <c r="E13" s="62" t="s">
        <v>1582</v>
      </c>
      <c r="F13" s="62" t="s">
        <v>1286</v>
      </c>
      <c r="G13" s="280" t="s">
        <v>1279</v>
      </c>
      <c r="H13" s="280" t="s">
        <v>1282</v>
      </c>
      <c r="I13" s="281" t="s">
        <v>1287</v>
      </c>
    </row>
    <row r="14" spans="1:9">
      <c r="A14" s="62">
        <v>88</v>
      </c>
      <c r="B14" s="279">
        <v>45977</v>
      </c>
      <c r="C14" s="282" t="s">
        <v>1271</v>
      </c>
      <c r="D14" s="282" t="s">
        <v>21</v>
      </c>
      <c r="E14" s="62" t="s">
        <v>1583</v>
      </c>
      <c r="F14" s="62" t="s">
        <v>1288</v>
      </c>
      <c r="G14" s="280" t="s">
        <v>1249</v>
      </c>
      <c r="H14" s="280" t="s">
        <v>1289</v>
      </c>
      <c r="I14" s="281" t="s">
        <v>1290</v>
      </c>
    </row>
    <row r="15" spans="1:9">
      <c r="A15" s="62">
        <v>87</v>
      </c>
      <c r="B15" s="279">
        <v>45976</v>
      </c>
      <c r="C15" s="219" t="s">
        <v>1273</v>
      </c>
      <c r="D15" s="219" t="s">
        <v>19</v>
      </c>
      <c r="E15" s="62" t="s">
        <v>1584</v>
      </c>
      <c r="F15" s="62" t="s">
        <v>1291</v>
      </c>
      <c r="G15" s="280" t="s">
        <v>1278</v>
      </c>
      <c r="H15" s="280" t="s">
        <v>1279</v>
      </c>
      <c r="I15" s="281" t="s">
        <v>1292</v>
      </c>
    </row>
    <row r="16" spans="1:9">
      <c r="A16" s="62">
        <v>86</v>
      </c>
      <c r="B16" s="279">
        <v>45975</v>
      </c>
      <c r="C16" s="204" t="s">
        <v>1246</v>
      </c>
      <c r="D16" s="204" t="s">
        <v>17</v>
      </c>
      <c r="E16" s="280" t="s">
        <v>1585</v>
      </c>
      <c r="F16" s="280" t="s">
        <v>1258</v>
      </c>
      <c r="G16" s="280" t="s">
        <v>1265</v>
      </c>
      <c r="H16" s="280" t="s">
        <v>1269</v>
      </c>
      <c r="I16" s="281" t="s">
        <v>1293</v>
      </c>
    </row>
    <row r="17" spans="1:9">
      <c r="A17" s="62">
        <v>85</v>
      </c>
      <c r="B17" s="279">
        <v>45974</v>
      </c>
      <c r="C17" s="183" t="s">
        <v>1251</v>
      </c>
      <c r="D17" s="183" t="s">
        <v>14</v>
      </c>
      <c r="E17" s="62" t="s">
        <v>1586</v>
      </c>
      <c r="F17" s="62" t="s">
        <v>1294</v>
      </c>
      <c r="G17" s="280" t="s">
        <v>1254</v>
      </c>
      <c r="H17" s="280" t="s">
        <v>1295</v>
      </c>
      <c r="I17" s="281" t="s">
        <v>1296</v>
      </c>
    </row>
    <row r="18" spans="1:9">
      <c r="A18" s="62">
        <v>84</v>
      </c>
      <c r="B18" s="279">
        <v>45973</v>
      </c>
      <c r="C18" s="173" t="s">
        <v>1256</v>
      </c>
      <c r="D18" s="173" t="s">
        <v>1257</v>
      </c>
      <c r="E18" s="62" t="s">
        <v>1587</v>
      </c>
      <c r="F18" s="62" t="s">
        <v>1297</v>
      </c>
      <c r="G18" s="280" t="s">
        <v>1248</v>
      </c>
      <c r="H18" s="280" t="s">
        <v>1249</v>
      </c>
      <c r="I18" s="281" t="s">
        <v>1298</v>
      </c>
    </row>
    <row r="19" spans="1:9">
      <c r="A19" s="62">
        <v>83</v>
      </c>
      <c r="B19" s="279">
        <v>45972</v>
      </c>
      <c r="C19" s="119" t="s">
        <v>1262</v>
      </c>
      <c r="D19" s="119" t="s">
        <v>8</v>
      </c>
      <c r="E19" s="62" t="s">
        <v>1588</v>
      </c>
      <c r="F19" s="62" t="s">
        <v>1299</v>
      </c>
      <c r="G19" s="280" t="s">
        <v>1265</v>
      </c>
      <c r="H19" s="280" t="s">
        <v>1269</v>
      </c>
      <c r="I19" s="281" t="s">
        <v>1300</v>
      </c>
    </row>
    <row r="20" spans="1:9">
      <c r="A20" s="62">
        <v>82</v>
      </c>
      <c r="B20" s="279">
        <v>45971</v>
      </c>
      <c r="C20" s="82" t="s">
        <v>1267</v>
      </c>
      <c r="D20" s="82" t="s">
        <v>6</v>
      </c>
      <c r="E20" s="62" t="s">
        <v>1589</v>
      </c>
      <c r="F20" s="62" t="s">
        <v>1297</v>
      </c>
      <c r="G20" s="280" t="s">
        <v>1279</v>
      </c>
      <c r="H20" s="280" t="s">
        <v>1282</v>
      </c>
      <c r="I20" s="281" t="s">
        <v>1301</v>
      </c>
    </row>
    <row r="21" spans="1:9">
      <c r="A21" s="62">
        <v>81</v>
      </c>
      <c r="B21" s="279">
        <v>45970</v>
      </c>
      <c r="C21" s="282" t="s">
        <v>1271</v>
      </c>
      <c r="D21" s="282" t="s">
        <v>21</v>
      </c>
      <c r="E21" s="62" t="s">
        <v>1590</v>
      </c>
      <c r="F21" s="62" t="s">
        <v>1302</v>
      </c>
      <c r="G21" s="280" t="s">
        <v>1289</v>
      </c>
      <c r="H21" s="280" t="s">
        <v>1303</v>
      </c>
      <c r="I21" s="281" t="s">
        <v>1304</v>
      </c>
    </row>
    <row r="22" spans="1:9">
      <c r="A22" s="62">
        <v>80</v>
      </c>
      <c r="B22" s="279">
        <v>45969</v>
      </c>
      <c r="C22" s="219" t="s">
        <v>1273</v>
      </c>
      <c r="D22" s="219" t="s">
        <v>19</v>
      </c>
      <c r="E22" s="62" t="s">
        <v>1591</v>
      </c>
      <c r="F22" s="62" t="s">
        <v>1299</v>
      </c>
      <c r="G22" s="280" t="s">
        <v>1253</v>
      </c>
      <c r="H22" s="280" t="s">
        <v>1254</v>
      </c>
      <c r="I22" s="281" t="s">
        <v>1305</v>
      </c>
    </row>
    <row r="23" spans="1:9">
      <c r="A23" s="62">
        <v>79</v>
      </c>
      <c r="B23" s="279">
        <v>45968</v>
      </c>
      <c r="C23" s="204" t="s">
        <v>1246</v>
      </c>
      <c r="D23" s="204" t="s">
        <v>17</v>
      </c>
      <c r="E23" s="62" t="s">
        <v>1592</v>
      </c>
      <c r="F23" s="62" t="s">
        <v>1306</v>
      </c>
      <c r="G23" s="280" t="s">
        <v>1249</v>
      </c>
      <c r="H23" s="280" t="s">
        <v>1289</v>
      </c>
      <c r="I23" s="281" t="s">
        <v>1307</v>
      </c>
    </row>
    <row r="24" spans="1:9">
      <c r="A24" s="62">
        <v>78</v>
      </c>
      <c r="B24" s="279">
        <v>45967</v>
      </c>
      <c r="C24" s="183" t="s">
        <v>1251</v>
      </c>
      <c r="D24" s="183" t="s">
        <v>14</v>
      </c>
      <c r="E24" s="62" t="s">
        <v>1593</v>
      </c>
      <c r="F24" s="62" t="s">
        <v>1308</v>
      </c>
      <c r="G24" s="280" t="s">
        <v>1278</v>
      </c>
      <c r="H24" s="280" t="s">
        <v>1279</v>
      </c>
      <c r="I24" s="281" t="s">
        <v>1309</v>
      </c>
    </row>
    <row r="25" spans="1:9">
      <c r="A25" s="62">
        <v>77</v>
      </c>
      <c r="B25" s="279">
        <v>45966</v>
      </c>
      <c r="C25" s="173" t="s">
        <v>1256</v>
      </c>
      <c r="D25" s="173" t="s">
        <v>1257</v>
      </c>
      <c r="E25" s="62" t="s">
        <v>1594</v>
      </c>
      <c r="F25" s="62" t="s">
        <v>1310</v>
      </c>
      <c r="G25" s="280" t="s">
        <v>1289</v>
      </c>
      <c r="H25" s="280" t="s">
        <v>1303</v>
      </c>
      <c r="I25" s="281" t="s">
        <v>1311</v>
      </c>
    </row>
    <row r="26" spans="1:9">
      <c r="A26" s="62">
        <v>76</v>
      </c>
      <c r="B26" s="279">
        <v>45965</v>
      </c>
      <c r="C26" s="119" t="s">
        <v>1262</v>
      </c>
      <c r="D26" s="119" t="s">
        <v>8</v>
      </c>
      <c r="E26" s="62" t="s">
        <v>1595</v>
      </c>
      <c r="F26" s="62" t="s">
        <v>1312</v>
      </c>
      <c r="G26" s="280" t="s">
        <v>1279</v>
      </c>
      <c r="H26" s="280" t="s">
        <v>1282</v>
      </c>
      <c r="I26" s="281" t="s">
        <v>1313</v>
      </c>
    </row>
    <row r="27" spans="1:9">
      <c r="A27" s="62">
        <v>75</v>
      </c>
      <c r="B27" s="279">
        <v>45964</v>
      </c>
      <c r="C27" s="82" t="s">
        <v>1267</v>
      </c>
      <c r="D27" s="82" t="s">
        <v>6</v>
      </c>
      <c r="E27" s="62" t="s">
        <v>1596</v>
      </c>
      <c r="F27" s="62" t="s">
        <v>1314</v>
      </c>
      <c r="G27" s="280" t="s">
        <v>1259</v>
      </c>
      <c r="H27" s="280" t="s">
        <v>1260</v>
      </c>
      <c r="I27" s="281" t="s">
        <v>1315</v>
      </c>
    </row>
    <row r="28" spans="1:9">
      <c r="A28" s="62">
        <v>74</v>
      </c>
      <c r="B28" s="279">
        <v>45963</v>
      </c>
      <c r="C28" s="282" t="s">
        <v>1271</v>
      </c>
      <c r="D28" s="282" t="s">
        <v>21</v>
      </c>
      <c r="E28" s="62" t="s">
        <v>1597</v>
      </c>
      <c r="F28" s="62" t="s">
        <v>1274</v>
      </c>
      <c r="G28" s="280" t="s">
        <v>1259</v>
      </c>
      <c r="H28" s="280" t="s">
        <v>1260</v>
      </c>
      <c r="I28" s="281" t="s">
        <v>1316</v>
      </c>
    </row>
    <row r="29" spans="1:9">
      <c r="A29" s="62">
        <v>73</v>
      </c>
      <c r="B29" s="279">
        <v>45962</v>
      </c>
      <c r="C29" s="219" t="s">
        <v>1273</v>
      </c>
      <c r="D29" s="219" t="s">
        <v>19</v>
      </c>
      <c r="E29" s="62" t="s">
        <v>1598</v>
      </c>
      <c r="F29" s="62" t="s">
        <v>1317</v>
      </c>
      <c r="G29" s="280" t="s">
        <v>1259</v>
      </c>
      <c r="H29" s="280" t="s">
        <v>1260</v>
      </c>
      <c r="I29" s="281" t="s">
        <v>1318</v>
      </c>
    </row>
    <row r="30" spans="1:9">
      <c r="A30" s="62">
        <v>72</v>
      </c>
      <c r="B30" s="279">
        <v>45961</v>
      </c>
      <c r="C30" s="204" t="s">
        <v>1246</v>
      </c>
      <c r="D30" s="204" t="s">
        <v>17</v>
      </c>
      <c r="E30" s="62" t="s">
        <v>1599</v>
      </c>
      <c r="F30" s="62" t="s">
        <v>1319</v>
      </c>
      <c r="G30" s="280" t="s">
        <v>1265</v>
      </c>
      <c r="H30" s="280" t="s">
        <v>1269</v>
      </c>
      <c r="I30" s="281" t="s">
        <v>1320</v>
      </c>
    </row>
    <row r="31" spans="1:9">
      <c r="A31" s="62">
        <v>71</v>
      </c>
      <c r="B31" s="279">
        <v>45960</v>
      </c>
      <c r="C31" s="183" t="s">
        <v>1251</v>
      </c>
      <c r="D31" s="183" t="s">
        <v>14</v>
      </c>
      <c r="E31" s="62" t="s">
        <v>1600</v>
      </c>
      <c r="F31" s="62" t="s">
        <v>1321</v>
      </c>
      <c r="G31" s="280" t="s">
        <v>1265</v>
      </c>
      <c r="H31" s="280" t="s">
        <v>1269</v>
      </c>
      <c r="I31" s="281" t="s">
        <v>1322</v>
      </c>
    </row>
    <row r="32" spans="1:9">
      <c r="A32" s="62">
        <v>70</v>
      </c>
      <c r="B32" s="279">
        <v>45959</v>
      </c>
      <c r="C32" s="173" t="s">
        <v>1256</v>
      </c>
      <c r="D32" s="173" t="s">
        <v>1257</v>
      </c>
      <c r="E32" s="62" t="s">
        <v>1601</v>
      </c>
      <c r="F32" s="62" t="s">
        <v>1297</v>
      </c>
      <c r="G32" s="280" t="s">
        <v>1264</v>
      </c>
      <c r="H32" s="280" t="s">
        <v>1265</v>
      </c>
      <c r="I32" s="281" t="s">
        <v>1323</v>
      </c>
    </row>
    <row r="33" spans="1:9">
      <c r="A33" s="62">
        <v>69</v>
      </c>
      <c r="B33" s="279">
        <v>45958</v>
      </c>
      <c r="C33" s="119" t="s">
        <v>1262</v>
      </c>
      <c r="D33" s="119" t="s">
        <v>8</v>
      </c>
      <c r="E33" s="62" t="s">
        <v>1602</v>
      </c>
      <c r="F33" s="62" t="s">
        <v>1324</v>
      </c>
      <c r="G33" s="280" t="s">
        <v>1279</v>
      </c>
      <c r="H33" s="280" t="s">
        <v>1282</v>
      </c>
      <c r="I33" s="281" t="s">
        <v>1325</v>
      </c>
    </row>
    <row r="34" spans="1:9">
      <c r="A34" s="62">
        <v>68</v>
      </c>
      <c r="B34" s="279">
        <v>45957</v>
      </c>
      <c r="C34" s="65" t="s">
        <v>1267</v>
      </c>
      <c r="D34" s="65" t="s">
        <v>6</v>
      </c>
      <c r="E34" s="62" t="s">
        <v>1603</v>
      </c>
      <c r="F34" s="62" t="s">
        <v>1281</v>
      </c>
      <c r="G34" s="280" t="s">
        <v>1249</v>
      </c>
      <c r="H34" s="280" t="s">
        <v>1289</v>
      </c>
      <c r="I34" s="283" t="s">
        <v>1326</v>
      </c>
    </row>
    <row r="35" spans="1:9">
      <c r="A35" s="62">
        <v>67</v>
      </c>
      <c r="B35" s="279">
        <v>45956</v>
      </c>
      <c r="C35" s="282" t="s">
        <v>1271</v>
      </c>
      <c r="D35" s="282" t="s">
        <v>21</v>
      </c>
      <c r="E35" s="62" t="s">
        <v>1604</v>
      </c>
      <c r="F35" s="62" t="s">
        <v>1327</v>
      </c>
      <c r="G35" s="280" t="s">
        <v>1249</v>
      </c>
      <c r="H35" s="280" t="s">
        <v>1289</v>
      </c>
      <c r="I35" s="283" t="s">
        <v>1328</v>
      </c>
    </row>
    <row r="36" spans="1:9">
      <c r="A36" s="62">
        <v>66</v>
      </c>
      <c r="B36" s="279">
        <v>45955</v>
      </c>
      <c r="C36" s="284" t="s">
        <v>1273</v>
      </c>
      <c r="D36" s="284" t="s">
        <v>19</v>
      </c>
      <c r="E36" s="62" t="s">
        <v>1605</v>
      </c>
      <c r="F36" s="62" t="s">
        <v>1297</v>
      </c>
      <c r="G36" s="280" t="s">
        <v>1248</v>
      </c>
      <c r="H36" s="280" t="s">
        <v>1249</v>
      </c>
      <c r="I36" s="283" t="s">
        <v>1329</v>
      </c>
    </row>
    <row r="37" spans="1:9">
      <c r="A37" s="62">
        <v>65</v>
      </c>
      <c r="B37" s="279">
        <v>45954</v>
      </c>
      <c r="C37" s="285" t="s">
        <v>1246</v>
      </c>
      <c r="D37" s="285" t="s">
        <v>17</v>
      </c>
      <c r="E37" s="62" t="s">
        <v>1606</v>
      </c>
      <c r="F37" s="62" t="s">
        <v>1330</v>
      </c>
      <c r="G37" s="280" t="s">
        <v>1264</v>
      </c>
      <c r="H37" s="280" t="s">
        <v>1265</v>
      </c>
      <c r="I37" s="281" t="s">
        <v>1331</v>
      </c>
    </row>
    <row r="38" spans="1:9">
      <c r="A38" s="62">
        <v>64</v>
      </c>
      <c r="B38" s="279">
        <v>45953</v>
      </c>
      <c r="C38" s="286" t="s">
        <v>1251</v>
      </c>
      <c r="D38" s="286" t="s">
        <v>14</v>
      </c>
      <c r="E38" s="62" t="s">
        <v>1607</v>
      </c>
      <c r="F38" s="62" t="s">
        <v>1332</v>
      </c>
      <c r="G38" s="280" t="s">
        <v>1264</v>
      </c>
      <c r="H38" s="280" t="s">
        <v>1265</v>
      </c>
      <c r="I38" s="281" t="s">
        <v>1333</v>
      </c>
    </row>
    <row r="39" spans="1:9">
      <c r="A39" s="62">
        <v>63</v>
      </c>
      <c r="B39" s="279">
        <v>45952</v>
      </c>
      <c r="C39" s="159" t="s">
        <v>1256</v>
      </c>
      <c r="D39" s="159" t="s">
        <v>1257</v>
      </c>
      <c r="E39" s="62" t="s">
        <v>1608</v>
      </c>
      <c r="F39" s="62" t="s">
        <v>1334</v>
      </c>
      <c r="G39" s="280" t="s">
        <v>1335</v>
      </c>
      <c r="H39" s="280" t="s">
        <v>1259</v>
      </c>
      <c r="I39" s="281" t="s">
        <v>1336</v>
      </c>
    </row>
    <row r="40" spans="1:9">
      <c r="A40" s="62">
        <v>62</v>
      </c>
      <c r="B40" s="279">
        <v>45951</v>
      </c>
      <c r="C40" s="119" t="s">
        <v>1262</v>
      </c>
      <c r="D40" s="119" t="s">
        <v>8</v>
      </c>
      <c r="E40" s="62" t="s">
        <v>1609</v>
      </c>
      <c r="F40" s="62" t="s">
        <v>1247</v>
      </c>
      <c r="G40" s="280" t="s">
        <v>1259</v>
      </c>
      <c r="H40" s="280" t="s">
        <v>1260</v>
      </c>
      <c r="I40" s="281" t="s">
        <v>1337</v>
      </c>
    </row>
    <row r="41" spans="1:9">
      <c r="A41" s="62">
        <v>61</v>
      </c>
      <c r="B41" s="279">
        <v>45950</v>
      </c>
      <c r="C41" s="65" t="s">
        <v>1267</v>
      </c>
      <c r="D41" s="65" t="s">
        <v>6</v>
      </c>
      <c r="E41" s="62" t="s">
        <v>1610</v>
      </c>
      <c r="F41" s="62" t="s">
        <v>1281</v>
      </c>
      <c r="G41" s="280" t="s">
        <v>1265</v>
      </c>
      <c r="H41" s="280" t="s">
        <v>1269</v>
      </c>
      <c r="I41" s="281" t="s">
        <v>1338</v>
      </c>
    </row>
    <row r="42" spans="1:9">
      <c r="A42" s="62">
        <v>60</v>
      </c>
      <c r="B42" s="279">
        <v>45949</v>
      </c>
      <c r="C42" s="282" t="s">
        <v>1271</v>
      </c>
      <c r="D42" s="282" t="s">
        <v>21</v>
      </c>
      <c r="E42" s="62" t="s">
        <v>1611</v>
      </c>
      <c r="F42" s="62" t="s">
        <v>1297</v>
      </c>
      <c r="G42" s="280" t="s">
        <v>1253</v>
      </c>
      <c r="H42" s="280" t="s">
        <v>1254</v>
      </c>
      <c r="I42" s="281" t="s">
        <v>1339</v>
      </c>
    </row>
    <row r="43" spans="1:9">
      <c r="A43" s="62">
        <v>59</v>
      </c>
      <c r="B43" s="279">
        <v>45948</v>
      </c>
      <c r="C43" s="284" t="s">
        <v>1273</v>
      </c>
      <c r="D43" s="284" t="s">
        <v>19</v>
      </c>
      <c r="E43" s="62" t="s">
        <v>1612</v>
      </c>
      <c r="F43" s="62" t="s">
        <v>1340</v>
      </c>
      <c r="G43" s="280" t="s">
        <v>1249</v>
      </c>
      <c r="H43" s="280" t="s">
        <v>1289</v>
      </c>
      <c r="I43" s="281" t="s">
        <v>1341</v>
      </c>
    </row>
    <row r="44" spans="1:9">
      <c r="A44" s="62">
        <v>58</v>
      </c>
      <c r="B44" s="279">
        <v>45947</v>
      </c>
      <c r="C44" s="285" t="s">
        <v>1246</v>
      </c>
      <c r="D44" s="285" t="s">
        <v>17</v>
      </c>
      <c r="E44" s="62" t="s">
        <v>1613</v>
      </c>
      <c r="F44" s="62" t="s">
        <v>1342</v>
      </c>
      <c r="G44" s="280" t="s">
        <v>1265</v>
      </c>
      <c r="H44" s="280" t="s">
        <v>1269</v>
      </c>
      <c r="I44" s="281" t="s">
        <v>1343</v>
      </c>
    </row>
    <row r="45" spans="1:9">
      <c r="A45" s="62">
        <v>57</v>
      </c>
      <c r="B45" s="279">
        <v>45946</v>
      </c>
      <c r="C45" s="286" t="s">
        <v>1251</v>
      </c>
      <c r="D45" s="286" t="s">
        <v>14</v>
      </c>
      <c r="E45" s="62" t="s">
        <v>1614</v>
      </c>
      <c r="F45" s="62" t="s">
        <v>1344</v>
      </c>
      <c r="G45" s="280" t="s">
        <v>1335</v>
      </c>
      <c r="H45" s="280" t="s">
        <v>1259</v>
      </c>
      <c r="I45" s="281" t="s">
        <v>1345</v>
      </c>
    </row>
    <row r="46" spans="1:9">
      <c r="A46" s="62">
        <v>56</v>
      </c>
      <c r="B46" s="279">
        <v>45945</v>
      </c>
      <c r="C46" s="159" t="s">
        <v>1256</v>
      </c>
      <c r="D46" s="159" t="s">
        <v>1257</v>
      </c>
      <c r="E46" s="62" t="s">
        <v>1615</v>
      </c>
      <c r="F46" s="62" t="s">
        <v>1346</v>
      </c>
      <c r="G46" s="280" t="s">
        <v>1248</v>
      </c>
      <c r="H46" s="280" t="s">
        <v>1249</v>
      </c>
      <c r="I46" s="281" t="s">
        <v>1347</v>
      </c>
    </row>
    <row r="47" spans="1:9">
      <c r="A47" s="62">
        <v>55</v>
      </c>
      <c r="B47" s="279">
        <v>45944</v>
      </c>
      <c r="C47" s="119" t="s">
        <v>1262</v>
      </c>
      <c r="D47" s="119" t="s">
        <v>8</v>
      </c>
      <c r="E47" s="62" t="s">
        <v>1616</v>
      </c>
      <c r="F47" s="62" t="s">
        <v>1348</v>
      </c>
      <c r="G47" s="280" t="s">
        <v>1279</v>
      </c>
      <c r="H47" s="280" t="s">
        <v>1282</v>
      </c>
      <c r="I47" s="281" t="s">
        <v>1349</v>
      </c>
    </row>
    <row r="48" spans="1:9">
      <c r="A48" s="62">
        <v>54</v>
      </c>
      <c r="B48" s="279">
        <v>45943</v>
      </c>
      <c r="C48" s="65" t="s">
        <v>1267</v>
      </c>
      <c r="D48" s="65" t="s">
        <v>6</v>
      </c>
      <c r="E48" s="62" t="s">
        <v>1617</v>
      </c>
      <c r="F48" s="62" t="s">
        <v>1319</v>
      </c>
      <c r="G48" s="280" t="s">
        <v>1279</v>
      </c>
      <c r="H48" s="280" t="s">
        <v>1282</v>
      </c>
      <c r="I48" s="281" t="s">
        <v>1350</v>
      </c>
    </row>
    <row r="49" spans="1:9">
      <c r="A49" s="62">
        <v>53</v>
      </c>
      <c r="B49" s="279">
        <v>45942</v>
      </c>
      <c r="C49" s="282" t="s">
        <v>1271</v>
      </c>
      <c r="D49" s="282" t="s">
        <v>21</v>
      </c>
      <c r="E49" s="62" t="s">
        <v>1618</v>
      </c>
      <c r="F49" s="62" t="s">
        <v>1351</v>
      </c>
      <c r="G49" s="280" t="s">
        <v>1335</v>
      </c>
      <c r="H49" s="280" t="s">
        <v>1259</v>
      </c>
      <c r="I49" s="281" t="s">
        <v>1352</v>
      </c>
    </row>
    <row r="50" spans="1:9">
      <c r="A50" s="62">
        <v>52</v>
      </c>
      <c r="B50" s="279">
        <v>45941</v>
      </c>
      <c r="C50" s="284" t="s">
        <v>1273</v>
      </c>
      <c r="D50" s="284" t="s">
        <v>19</v>
      </c>
      <c r="E50" s="62" t="s">
        <v>1619</v>
      </c>
      <c r="F50" s="62" t="s">
        <v>1353</v>
      </c>
      <c r="G50" s="280" t="s">
        <v>1265</v>
      </c>
      <c r="H50" s="280" t="s">
        <v>1269</v>
      </c>
      <c r="I50" s="281" t="s">
        <v>1354</v>
      </c>
    </row>
    <row r="51" spans="1:9">
      <c r="A51" s="62">
        <v>51</v>
      </c>
      <c r="B51" s="279">
        <v>45940</v>
      </c>
      <c r="C51" s="285" t="s">
        <v>1246</v>
      </c>
      <c r="D51" s="285" t="s">
        <v>17</v>
      </c>
      <c r="E51" s="62" t="s">
        <v>1620</v>
      </c>
      <c r="F51" s="62" t="s">
        <v>1306</v>
      </c>
      <c r="G51" s="280" t="s">
        <v>1279</v>
      </c>
      <c r="H51" s="280" t="s">
        <v>1282</v>
      </c>
      <c r="I51" s="283" t="s">
        <v>1355</v>
      </c>
    </row>
    <row r="52" spans="1:9">
      <c r="A52" s="62">
        <v>50</v>
      </c>
      <c r="B52" s="279">
        <v>45939</v>
      </c>
      <c r="C52" s="286" t="s">
        <v>1251</v>
      </c>
      <c r="D52" s="286" t="s">
        <v>14</v>
      </c>
      <c r="E52" s="62" t="s">
        <v>1621</v>
      </c>
      <c r="F52" s="62" t="s">
        <v>1356</v>
      </c>
      <c r="G52" s="280" t="s">
        <v>1254</v>
      </c>
      <c r="H52" s="280" t="s">
        <v>1295</v>
      </c>
      <c r="I52" s="283" t="s">
        <v>1357</v>
      </c>
    </row>
    <row r="53" spans="1:9">
      <c r="A53" s="62">
        <v>49</v>
      </c>
      <c r="B53" s="279">
        <v>45938</v>
      </c>
      <c r="C53" s="159" t="s">
        <v>1256</v>
      </c>
      <c r="D53" s="159" t="s">
        <v>1257</v>
      </c>
      <c r="E53" s="62" t="s">
        <v>1622</v>
      </c>
      <c r="F53" s="62" t="s">
        <v>1358</v>
      </c>
      <c r="G53" s="280" t="s">
        <v>1264</v>
      </c>
      <c r="H53" s="280" t="s">
        <v>1265</v>
      </c>
      <c r="I53" s="283" t="s">
        <v>1359</v>
      </c>
    </row>
    <row r="54" spans="1:9">
      <c r="A54" s="62">
        <v>48</v>
      </c>
      <c r="B54" s="279">
        <v>45937</v>
      </c>
      <c r="C54" s="119" t="s">
        <v>1262</v>
      </c>
      <c r="D54" s="119" t="s">
        <v>8</v>
      </c>
      <c r="E54" s="62" t="s">
        <v>1623</v>
      </c>
      <c r="F54" s="62" t="s">
        <v>1291</v>
      </c>
      <c r="G54" s="280" t="s">
        <v>1264</v>
      </c>
      <c r="H54" s="280" t="s">
        <v>1265</v>
      </c>
      <c r="I54" s="283" t="s">
        <v>1360</v>
      </c>
    </row>
    <row r="55" spans="1:9">
      <c r="A55" s="62">
        <v>47</v>
      </c>
      <c r="B55" s="279">
        <v>45936</v>
      </c>
      <c r="C55" s="65" t="s">
        <v>1267</v>
      </c>
      <c r="D55" s="65" t="s">
        <v>6</v>
      </c>
      <c r="E55" s="62" t="s">
        <v>1624</v>
      </c>
      <c r="F55" s="62" t="s">
        <v>1258</v>
      </c>
      <c r="G55" s="280" t="s">
        <v>1264</v>
      </c>
      <c r="H55" s="280" t="s">
        <v>1265</v>
      </c>
      <c r="I55" s="283" t="s">
        <v>1361</v>
      </c>
    </row>
    <row r="56" spans="1:9">
      <c r="A56" s="62">
        <v>46</v>
      </c>
      <c r="B56" s="279">
        <v>45935</v>
      </c>
      <c r="C56" s="282" t="s">
        <v>1271</v>
      </c>
      <c r="D56" s="282" t="s">
        <v>21</v>
      </c>
      <c r="E56" s="62" t="s">
        <v>1625</v>
      </c>
      <c r="F56" s="62" t="s">
        <v>1362</v>
      </c>
      <c r="G56" s="280" t="s">
        <v>1279</v>
      </c>
      <c r="H56" s="280" t="s">
        <v>1282</v>
      </c>
      <c r="I56" s="283" t="s">
        <v>1363</v>
      </c>
    </row>
    <row r="57" spans="1:9">
      <c r="A57" s="62">
        <v>45</v>
      </c>
      <c r="B57" s="279">
        <v>45934</v>
      </c>
      <c r="C57" s="284" t="s">
        <v>1273</v>
      </c>
      <c r="D57" s="284" t="s">
        <v>19</v>
      </c>
      <c r="E57" s="62" t="s">
        <v>1626</v>
      </c>
      <c r="F57" s="62" t="s">
        <v>1291</v>
      </c>
      <c r="G57" s="280" t="s">
        <v>1259</v>
      </c>
      <c r="H57" s="280" t="s">
        <v>1260</v>
      </c>
      <c r="I57" s="283" t="s">
        <v>1364</v>
      </c>
    </row>
    <row r="58" spans="1:9">
      <c r="A58" s="62">
        <v>44</v>
      </c>
      <c r="B58" s="279">
        <v>45933</v>
      </c>
      <c r="C58" s="285" t="s">
        <v>1246</v>
      </c>
      <c r="D58" s="285" t="s">
        <v>17</v>
      </c>
      <c r="E58" s="62" t="s">
        <v>1627</v>
      </c>
      <c r="F58" s="62" t="s">
        <v>1365</v>
      </c>
      <c r="G58" s="280" t="s">
        <v>1366</v>
      </c>
      <c r="H58" s="280" t="s">
        <v>1367</v>
      </c>
      <c r="I58" s="283" t="s">
        <v>1368</v>
      </c>
    </row>
    <row r="59" spans="1:9">
      <c r="A59" s="62">
        <v>43</v>
      </c>
      <c r="B59" s="279">
        <v>45932</v>
      </c>
      <c r="C59" s="286" t="s">
        <v>1251</v>
      </c>
      <c r="D59" s="286" t="s">
        <v>14</v>
      </c>
      <c r="E59" s="62" t="s">
        <v>1628</v>
      </c>
      <c r="F59" s="62" t="s">
        <v>1369</v>
      </c>
      <c r="G59" s="280" t="s">
        <v>1265</v>
      </c>
      <c r="H59" s="280" t="s">
        <v>1269</v>
      </c>
      <c r="I59" s="283" t="s">
        <v>1370</v>
      </c>
    </row>
    <row r="60" spans="1:9">
      <c r="A60" s="62">
        <v>42</v>
      </c>
      <c r="B60" s="279">
        <v>45931</v>
      </c>
      <c r="C60" s="159" t="s">
        <v>1256</v>
      </c>
      <c r="D60" s="159" t="s">
        <v>1257</v>
      </c>
      <c r="E60" s="62" t="s">
        <v>1629</v>
      </c>
      <c r="F60" s="62" t="s">
        <v>1297</v>
      </c>
      <c r="G60" s="280" t="s">
        <v>1279</v>
      </c>
      <c r="H60" s="280" t="s">
        <v>1282</v>
      </c>
      <c r="I60" s="283" t="s">
        <v>1371</v>
      </c>
    </row>
    <row r="61" spans="1:9">
      <c r="A61" s="62">
        <v>41</v>
      </c>
      <c r="B61" s="279">
        <v>45930</v>
      </c>
      <c r="C61" s="119" t="s">
        <v>1262</v>
      </c>
      <c r="D61" s="119" t="s">
        <v>8</v>
      </c>
      <c r="E61" s="62" t="s">
        <v>1630</v>
      </c>
      <c r="F61" s="62" t="s">
        <v>1299</v>
      </c>
      <c r="G61" s="280" t="s">
        <v>1335</v>
      </c>
      <c r="H61" s="280" t="s">
        <v>1259</v>
      </c>
      <c r="I61" s="283" t="s">
        <v>1372</v>
      </c>
    </row>
    <row r="62" spans="1:9">
      <c r="A62" s="62">
        <v>40</v>
      </c>
      <c r="B62" s="279">
        <v>45929</v>
      </c>
      <c r="C62" s="65" t="s">
        <v>1267</v>
      </c>
      <c r="D62" s="65" t="s">
        <v>6</v>
      </c>
      <c r="E62" s="62" t="s">
        <v>1631</v>
      </c>
      <c r="F62" s="62" t="s">
        <v>1258</v>
      </c>
      <c r="G62" s="280" t="s">
        <v>1335</v>
      </c>
      <c r="H62" s="280" t="s">
        <v>1259</v>
      </c>
      <c r="I62" s="283" t="s">
        <v>1373</v>
      </c>
    </row>
    <row r="63" spans="1:9">
      <c r="A63" s="62">
        <v>39</v>
      </c>
      <c r="B63" s="279">
        <v>45928</v>
      </c>
      <c r="C63" s="282" t="s">
        <v>1271</v>
      </c>
      <c r="D63" s="282" t="s">
        <v>21</v>
      </c>
      <c r="E63" s="62" t="s">
        <v>1632</v>
      </c>
      <c r="F63" s="62" t="s">
        <v>1297</v>
      </c>
      <c r="G63" s="280" t="s">
        <v>1249</v>
      </c>
      <c r="H63" s="280" t="s">
        <v>1289</v>
      </c>
      <c r="I63" s="283" t="s">
        <v>1374</v>
      </c>
    </row>
    <row r="64" spans="1:9">
      <c r="A64" s="62">
        <v>38</v>
      </c>
      <c r="B64" s="279">
        <v>45927</v>
      </c>
      <c r="C64" s="284" t="s">
        <v>1273</v>
      </c>
      <c r="D64" s="284" t="s">
        <v>19</v>
      </c>
      <c r="E64" s="62" t="s">
        <v>1633</v>
      </c>
      <c r="F64" s="62" t="s">
        <v>1375</v>
      </c>
      <c r="G64" s="280" t="s">
        <v>1279</v>
      </c>
      <c r="H64" s="280" t="s">
        <v>1282</v>
      </c>
      <c r="I64" s="283" t="s">
        <v>1376</v>
      </c>
    </row>
    <row r="65" spans="1:9">
      <c r="A65" s="62">
        <v>37</v>
      </c>
      <c r="B65" s="279">
        <v>45926</v>
      </c>
      <c r="C65" s="285" t="s">
        <v>1246</v>
      </c>
      <c r="D65" s="285" t="s">
        <v>17</v>
      </c>
      <c r="E65" s="62" t="s">
        <v>1634</v>
      </c>
      <c r="F65" s="62" t="s">
        <v>1377</v>
      </c>
      <c r="G65" s="280" t="s">
        <v>1264</v>
      </c>
      <c r="H65" s="280" t="s">
        <v>1265</v>
      </c>
      <c r="I65" s="283" t="s">
        <v>1378</v>
      </c>
    </row>
    <row r="66" spans="1:9">
      <c r="A66" s="62">
        <v>36</v>
      </c>
      <c r="B66" s="279">
        <v>45925</v>
      </c>
      <c r="C66" s="286" t="s">
        <v>1251</v>
      </c>
      <c r="D66" s="286" t="s">
        <v>14</v>
      </c>
      <c r="E66" s="62" t="s">
        <v>1635</v>
      </c>
      <c r="F66" s="62" t="s">
        <v>229</v>
      </c>
      <c r="G66" s="280" t="s">
        <v>1279</v>
      </c>
      <c r="H66" s="280" t="s">
        <v>1282</v>
      </c>
      <c r="I66" s="283" t="s">
        <v>1379</v>
      </c>
    </row>
    <row r="67" spans="1:9">
      <c r="A67" s="62">
        <v>35</v>
      </c>
      <c r="B67" s="279">
        <v>45924</v>
      </c>
      <c r="C67" s="159" t="s">
        <v>1256</v>
      </c>
      <c r="D67" s="159" t="s">
        <v>1257</v>
      </c>
      <c r="E67" s="62" t="s">
        <v>1636</v>
      </c>
      <c r="F67" s="62" t="s">
        <v>1380</v>
      </c>
      <c r="G67" s="280" t="s">
        <v>1381</v>
      </c>
      <c r="H67" s="280" t="s">
        <v>1264</v>
      </c>
      <c r="I67" s="283" t="s">
        <v>1382</v>
      </c>
    </row>
    <row r="68" spans="1:9">
      <c r="A68" s="62">
        <v>34</v>
      </c>
      <c r="B68" s="279">
        <v>45923</v>
      </c>
      <c r="C68" s="119" t="s">
        <v>1262</v>
      </c>
      <c r="D68" s="119" t="s">
        <v>8</v>
      </c>
      <c r="E68" s="62" t="s">
        <v>1637</v>
      </c>
      <c r="F68" s="62" t="s">
        <v>1306</v>
      </c>
      <c r="G68" s="280" t="s">
        <v>1264</v>
      </c>
      <c r="H68" s="280" t="s">
        <v>1265</v>
      </c>
      <c r="I68" s="283" t="s">
        <v>1383</v>
      </c>
    </row>
    <row r="69" spans="1:9">
      <c r="A69" s="62">
        <v>33</v>
      </c>
      <c r="B69" s="279">
        <v>45922</v>
      </c>
      <c r="C69" s="65" t="s">
        <v>1267</v>
      </c>
      <c r="D69" s="65" t="s">
        <v>6</v>
      </c>
      <c r="E69" s="62" t="s">
        <v>1638</v>
      </c>
      <c r="F69" s="62" t="s">
        <v>1384</v>
      </c>
      <c r="G69" s="280" t="s">
        <v>1279</v>
      </c>
      <c r="H69" s="280" t="s">
        <v>1282</v>
      </c>
      <c r="I69" s="283" t="s">
        <v>1385</v>
      </c>
    </row>
    <row r="70" spans="1:9">
      <c r="A70" s="62">
        <v>32</v>
      </c>
      <c r="B70" s="279">
        <v>45921</v>
      </c>
      <c r="C70" s="282" t="s">
        <v>1271</v>
      </c>
      <c r="D70" s="282" t="s">
        <v>21</v>
      </c>
      <c r="E70" s="62" t="s">
        <v>1639</v>
      </c>
      <c r="F70" s="62" t="s">
        <v>1386</v>
      </c>
      <c r="G70" s="280" t="s">
        <v>1259</v>
      </c>
      <c r="H70" s="280" t="s">
        <v>1260</v>
      </c>
      <c r="I70" s="283" t="s">
        <v>1387</v>
      </c>
    </row>
    <row r="71" spans="1:9">
      <c r="A71" s="62">
        <v>31</v>
      </c>
      <c r="B71" s="279">
        <v>45920</v>
      </c>
      <c r="C71" s="284" t="s">
        <v>1273</v>
      </c>
      <c r="D71" s="284" t="s">
        <v>19</v>
      </c>
      <c r="E71" s="62" t="s">
        <v>1640</v>
      </c>
      <c r="F71" s="62" t="s">
        <v>1388</v>
      </c>
      <c r="G71" s="280" t="s">
        <v>1248</v>
      </c>
      <c r="H71" s="280" t="s">
        <v>1249</v>
      </c>
      <c r="I71" s="283" t="s">
        <v>1389</v>
      </c>
    </row>
    <row r="72" spans="1:9">
      <c r="A72" s="62">
        <v>30</v>
      </c>
      <c r="B72" s="279">
        <v>45919</v>
      </c>
      <c r="C72" s="285" t="s">
        <v>1246</v>
      </c>
      <c r="D72" s="285" t="s">
        <v>17</v>
      </c>
      <c r="E72" s="62" t="s">
        <v>1641</v>
      </c>
      <c r="F72" s="62" t="s">
        <v>1390</v>
      </c>
      <c r="G72" s="280" t="s">
        <v>1248</v>
      </c>
      <c r="H72" s="280" t="s">
        <v>1249</v>
      </c>
      <c r="I72" s="283" t="s">
        <v>1391</v>
      </c>
    </row>
    <row r="73" spans="1:9">
      <c r="A73" s="62">
        <v>29</v>
      </c>
      <c r="B73" s="279">
        <v>45918</v>
      </c>
      <c r="C73" s="286" t="s">
        <v>1251</v>
      </c>
      <c r="D73" s="286" t="s">
        <v>14</v>
      </c>
      <c r="E73" s="62" t="s">
        <v>1642</v>
      </c>
      <c r="F73" s="62" t="s">
        <v>1392</v>
      </c>
      <c r="G73" s="280" t="s">
        <v>1366</v>
      </c>
      <c r="H73" s="280" t="s">
        <v>1367</v>
      </c>
      <c r="I73" s="283" t="s">
        <v>1393</v>
      </c>
    </row>
    <row r="74" spans="1:9">
      <c r="A74" s="62">
        <v>28</v>
      </c>
      <c r="B74" s="279">
        <v>45917</v>
      </c>
      <c r="C74" s="159" t="s">
        <v>1256</v>
      </c>
      <c r="D74" s="159" t="s">
        <v>1257</v>
      </c>
      <c r="E74" s="62" t="s">
        <v>1643</v>
      </c>
      <c r="F74" s="62" t="s">
        <v>1274</v>
      </c>
      <c r="G74" s="280" t="s">
        <v>1249</v>
      </c>
      <c r="H74" s="280" t="s">
        <v>1289</v>
      </c>
      <c r="I74" s="283" t="s">
        <v>1394</v>
      </c>
    </row>
    <row r="75" spans="1:9">
      <c r="A75" s="62">
        <v>27</v>
      </c>
      <c r="B75" s="279">
        <v>45916</v>
      </c>
      <c r="C75" s="119" t="s">
        <v>1262</v>
      </c>
      <c r="D75" s="119" t="s">
        <v>8</v>
      </c>
      <c r="E75" s="62" t="s">
        <v>1644</v>
      </c>
      <c r="F75" s="62" t="s">
        <v>1314</v>
      </c>
      <c r="G75" s="280" t="s">
        <v>1279</v>
      </c>
      <c r="H75" s="280" t="s">
        <v>1282</v>
      </c>
      <c r="I75" s="283" t="s">
        <v>1395</v>
      </c>
    </row>
    <row r="76" spans="1:9">
      <c r="A76" s="62">
        <v>26</v>
      </c>
      <c r="B76" s="279">
        <v>45915</v>
      </c>
      <c r="C76" s="65" t="s">
        <v>1267</v>
      </c>
      <c r="D76" s="65" t="s">
        <v>6</v>
      </c>
      <c r="E76" s="62" t="s">
        <v>1645</v>
      </c>
      <c r="F76" s="62" t="s">
        <v>1297</v>
      </c>
      <c r="G76" s="280" t="s">
        <v>1279</v>
      </c>
      <c r="H76" s="280" t="s">
        <v>1282</v>
      </c>
      <c r="I76" s="283" t="s">
        <v>1396</v>
      </c>
    </row>
    <row r="77" spans="1:9">
      <c r="A77" s="62">
        <v>25</v>
      </c>
      <c r="B77" s="279">
        <v>45914</v>
      </c>
      <c r="C77" s="282" t="s">
        <v>1271</v>
      </c>
      <c r="D77" s="282" t="s">
        <v>21</v>
      </c>
      <c r="E77" s="62" t="s">
        <v>1646</v>
      </c>
      <c r="F77" s="62" t="s">
        <v>1397</v>
      </c>
      <c r="G77" s="280" t="s">
        <v>1279</v>
      </c>
      <c r="H77" s="280" t="s">
        <v>1282</v>
      </c>
      <c r="I77" s="283" t="s">
        <v>1398</v>
      </c>
    </row>
    <row r="78" spans="1:9">
      <c r="A78" s="62">
        <v>24</v>
      </c>
      <c r="B78" s="279">
        <v>45913</v>
      </c>
      <c r="C78" s="284" t="s">
        <v>1273</v>
      </c>
      <c r="D78" s="284" t="s">
        <v>19</v>
      </c>
      <c r="E78" s="62" t="s">
        <v>1647</v>
      </c>
      <c r="F78" s="62" t="s">
        <v>1297</v>
      </c>
      <c r="G78" s="280" t="s">
        <v>1253</v>
      </c>
      <c r="H78" s="280" t="s">
        <v>1254</v>
      </c>
      <c r="I78" s="283" t="s">
        <v>1399</v>
      </c>
    </row>
    <row r="79" spans="1:9">
      <c r="A79" s="62">
        <v>23</v>
      </c>
      <c r="B79" s="279">
        <v>45912</v>
      </c>
      <c r="C79" s="285" t="s">
        <v>1246</v>
      </c>
      <c r="D79" s="285" t="s">
        <v>17</v>
      </c>
      <c r="E79" s="62" t="s">
        <v>1648</v>
      </c>
      <c r="F79" s="62" t="s">
        <v>1400</v>
      </c>
      <c r="G79" s="280" t="s">
        <v>1401</v>
      </c>
      <c r="H79" s="280" t="s">
        <v>1402</v>
      </c>
      <c r="I79" s="283" t="s">
        <v>1403</v>
      </c>
    </row>
    <row r="80" spans="1:9">
      <c r="A80" s="62">
        <v>22</v>
      </c>
      <c r="B80" s="279">
        <v>45911</v>
      </c>
      <c r="C80" s="286" t="s">
        <v>1251</v>
      </c>
      <c r="D80" s="286" t="s">
        <v>14</v>
      </c>
      <c r="E80" s="62" t="s">
        <v>1649</v>
      </c>
      <c r="F80" s="62" t="s">
        <v>1297</v>
      </c>
      <c r="G80" s="280" t="s">
        <v>1253</v>
      </c>
      <c r="H80" s="280" t="s">
        <v>1254</v>
      </c>
      <c r="I80" s="283" t="s">
        <v>1404</v>
      </c>
    </row>
    <row r="81" spans="1:9">
      <c r="A81" s="62">
        <v>21</v>
      </c>
      <c r="B81" s="279">
        <v>45910</v>
      </c>
      <c r="C81" s="159" t="s">
        <v>1256</v>
      </c>
      <c r="D81" s="159" t="s">
        <v>1257</v>
      </c>
      <c r="E81" s="62" t="s">
        <v>1650</v>
      </c>
      <c r="F81" s="62" t="s">
        <v>1405</v>
      </c>
      <c r="G81" s="280" t="s">
        <v>1249</v>
      </c>
      <c r="H81" s="280" t="s">
        <v>1289</v>
      </c>
      <c r="I81" s="283" t="s">
        <v>1406</v>
      </c>
    </row>
    <row r="82" spans="1:9">
      <c r="A82" s="62">
        <v>20</v>
      </c>
      <c r="B82" s="279">
        <v>45909</v>
      </c>
      <c r="C82" s="119" t="s">
        <v>1262</v>
      </c>
      <c r="D82" s="119" t="s">
        <v>8</v>
      </c>
      <c r="E82" s="62" t="s">
        <v>1651</v>
      </c>
      <c r="F82" s="62" t="s">
        <v>1286</v>
      </c>
      <c r="G82" s="280" t="s">
        <v>1265</v>
      </c>
      <c r="H82" s="280" t="s">
        <v>1269</v>
      </c>
      <c r="I82" s="283" t="s">
        <v>1407</v>
      </c>
    </row>
    <row r="83" spans="1:9">
      <c r="A83" s="62">
        <v>19</v>
      </c>
      <c r="B83" s="279">
        <v>45908</v>
      </c>
      <c r="C83" s="65" t="s">
        <v>1267</v>
      </c>
      <c r="D83" s="65" t="s">
        <v>6</v>
      </c>
      <c r="E83" s="62" t="s">
        <v>1652</v>
      </c>
      <c r="F83" s="62" t="s">
        <v>1408</v>
      </c>
      <c r="G83" s="280" t="s">
        <v>1264</v>
      </c>
      <c r="H83" s="280" t="s">
        <v>1265</v>
      </c>
      <c r="I83" s="283" t="s">
        <v>1409</v>
      </c>
    </row>
    <row r="84" spans="1:9">
      <c r="A84" s="62">
        <v>18</v>
      </c>
      <c r="B84" s="279">
        <v>45907</v>
      </c>
      <c r="C84" s="282" t="s">
        <v>1271</v>
      </c>
      <c r="D84" s="282" t="s">
        <v>21</v>
      </c>
      <c r="E84" s="62" t="s">
        <v>1653</v>
      </c>
      <c r="F84" s="62" t="s">
        <v>1297</v>
      </c>
      <c r="G84" s="280" t="s">
        <v>1253</v>
      </c>
      <c r="H84" s="280" t="s">
        <v>1254</v>
      </c>
      <c r="I84" s="283" t="s">
        <v>1410</v>
      </c>
    </row>
    <row r="85" spans="1:9">
      <c r="A85" s="62">
        <v>17</v>
      </c>
      <c r="B85" s="279">
        <v>45906</v>
      </c>
      <c r="C85" s="284" t="s">
        <v>1273</v>
      </c>
      <c r="D85" s="284" t="s">
        <v>19</v>
      </c>
      <c r="E85" s="62" t="s">
        <v>1654</v>
      </c>
      <c r="F85" s="62" t="s">
        <v>1411</v>
      </c>
      <c r="G85" s="280" t="s">
        <v>1249</v>
      </c>
      <c r="H85" s="280" t="s">
        <v>1289</v>
      </c>
      <c r="I85" s="283" t="s">
        <v>1412</v>
      </c>
    </row>
    <row r="86" spans="1:9">
      <c r="A86" s="62">
        <v>16</v>
      </c>
      <c r="B86" s="279">
        <v>45905</v>
      </c>
      <c r="C86" s="285" t="s">
        <v>1246</v>
      </c>
      <c r="D86" s="285" t="s">
        <v>17</v>
      </c>
      <c r="E86" s="62" t="s">
        <v>1655</v>
      </c>
      <c r="F86" s="62" t="s">
        <v>1247</v>
      </c>
      <c r="G86" s="280" t="s">
        <v>1249</v>
      </c>
      <c r="H86" s="280" t="s">
        <v>1289</v>
      </c>
      <c r="I86" s="283" t="s">
        <v>1413</v>
      </c>
    </row>
    <row r="87" spans="1:9">
      <c r="A87" s="62">
        <v>15</v>
      </c>
      <c r="B87" s="279">
        <v>45904</v>
      </c>
      <c r="C87" s="286" t="s">
        <v>1251</v>
      </c>
      <c r="D87" s="286" t="s">
        <v>14</v>
      </c>
      <c r="E87" s="62" t="s">
        <v>1656</v>
      </c>
      <c r="F87" s="62" t="s">
        <v>1414</v>
      </c>
      <c r="G87" s="280" t="s">
        <v>1249</v>
      </c>
      <c r="H87" s="280" t="s">
        <v>1289</v>
      </c>
      <c r="I87" s="287" t="s">
        <v>1415</v>
      </c>
    </row>
    <row r="88" spans="1:9">
      <c r="A88" s="288">
        <v>14.02</v>
      </c>
      <c r="B88" s="279">
        <v>45903</v>
      </c>
      <c r="C88" s="159" t="s">
        <v>1256</v>
      </c>
      <c r="D88" s="159" t="s">
        <v>1257</v>
      </c>
      <c r="E88" s="127" t="s"/>
      <c r="F88" s="127" t="s"/>
      <c r="G88" s="289" t="s"/>
      <c r="H88" s="289" t="s"/>
      <c r="I88" s="287" t="s"/>
    </row>
    <row r="89" spans="1:9">
      <c r="A89" s="288">
        <v>14.01</v>
      </c>
      <c r="B89" s="279">
        <v>45902</v>
      </c>
      <c r="C89" s="119" t="s">
        <v>1262</v>
      </c>
      <c r="D89" s="119" t="s">
        <v>8</v>
      </c>
      <c r="E89" s="127" t="s"/>
      <c r="F89" s="127" t="s"/>
      <c r="G89" s="289" t="s"/>
      <c r="H89" s="289" t="s"/>
      <c r="I89" s="287" t="s"/>
    </row>
    <row r="90" spans="1:9">
      <c r="A90" s="62">
        <v>14</v>
      </c>
      <c r="B90" s="279">
        <v>45901</v>
      </c>
      <c r="C90" s="65" t="s">
        <v>1267</v>
      </c>
      <c r="D90" s="65" t="s">
        <v>6</v>
      </c>
      <c r="E90" s="62" t="s">
        <v>1657</v>
      </c>
      <c r="F90" s="62" t="s">
        <v>1416</v>
      </c>
      <c r="G90" s="280" t="s">
        <v>1249</v>
      </c>
      <c r="H90" s="280" t="s">
        <v>1289</v>
      </c>
      <c r="I90" s="283" t="s">
        <v>1417</v>
      </c>
    </row>
    <row r="91" spans="1:9">
      <c r="A91" s="62">
        <v>13</v>
      </c>
      <c r="B91" s="279">
        <v>45900</v>
      </c>
      <c r="C91" s="282" t="s">
        <v>1271</v>
      </c>
      <c r="D91" s="282" t="s">
        <v>21</v>
      </c>
      <c r="E91" s="62" t="s">
        <v>1658</v>
      </c>
      <c r="F91" s="62" t="s">
        <v>99</v>
      </c>
      <c r="G91" s="280" t="s">
        <v>1253</v>
      </c>
      <c r="H91" s="280" t="s">
        <v>1254</v>
      </c>
      <c r="I91" s="283" t="s">
        <v>1418</v>
      </c>
    </row>
    <row r="92" spans="1:9">
      <c r="A92" s="62">
        <v>12</v>
      </c>
      <c r="B92" s="279">
        <v>45899</v>
      </c>
      <c r="C92" s="284" t="s">
        <v>1273</v>
      </c>
      <c r="D92" s="284" t="s">
        <v>19</v>
      </c>
      <c r="E92" s="62" t="s">
        <v>1659</v>
      </c>
      <c r="F92" s="62" t="s">
        <v>1353</v>
      </c>
      <c r="G92" s="280" t="s">
        <v>1265</v>
      </c>
      <c r="H92" s="280" t="s">
        <v>1269</v>
      </c>
      <c r="I92" s="283" t="s">
        <v>1419</v>
      </c>
    </row>
    <row r="93" spans="1:9">
      <c r="A93" s="62">
        <v>11</v>
      </c>
      <c r="B93" s="279">
        <v>45898</v>
      </c>
      <c r="C93" s="285" t="s">
        <v>1246</v>
      </c>
      <c r="D93" s="285" t="s">
        <v>17</v>
      </c>
      <c r="E93" s="62" t="s">
        <v>1660</v>
      </c>
      <c r="F93" s="62" t="s">
        <v>1297</v>
      </c>
      <c r="G93" s="280" t="s">
        <v>1265</v>
      </c>
      <c r="H93" s="280" t="s">
        <v>1269</v>
      </c>
      <c r="I93" s="283" t="s">
        <v>1420</v>
      </c>
    </row>
    <row r="94" spans="1:9">
      <c r="A94" s="62">
        <v>10</v>
      </c>
      <c r="B94" s="279">
        <v>45897</v>
      </c>
      <c r="C94" s="286" t="s">
        <v>1251</v>
      </c>
      <c r="D94" s="286" t="s">
        <v>14</v>
      </c>
      <c r="E94" s="62" t="s">
        <v>1661</v>
      </c>
      <c r="F94" s="62" t="s">
        <v>1421</v>
      </c>
      <c r="G94" s="280" t="s">
        <v>1367</v>
      </c>
      <c r="H94" s="280" t="s">
        <v>1422</v>
      </c>
      <c r="I94" s="283" t="s">
        <v>1423</v>
      </c>
    </row>
    <row r="95" spans="1:9">
      <c r="A95" s="62">
        <v>9</v>
      </c>
      <c r="B95" s="279">
        <v>45896</v>
      </c>
      <c r="C95" s="159" t="s">
        <v>1256</v>
      </c>
      <c r="D95" s="159" t="s">
        <v>1257</v>
      </c>
      <c r="E95" s="62" t="s">
        <v>1662</v>
      </c>
      <c r="F95" s="62" t="s">
        <v>1258</v>
      </c>
      <c r="G95" s="280" t="s">
        <v>1289</v>
      </c>
      <c r="H95" s="280" t="s">
        <v>1303</v>
      </c>
      <c r="I95" s="283" t="s">
        <v>1424</v>
      </c>
    </row>
    <row r="96" spans="1:9">
      <c r="A96" s="62">
        <v>8</v>
      </c>
      <c r="B96" s="279">
        <v>45895</v>
      </c>
      <c r="C96" s="119" t="s">
        <v>1262</v>
      </c>
      <c r="D96" s="119" t="s">
        <v>8</v>
      </c>
      <c r="E96" s="62" t="s">
        <v>1663</v>
      </c>
      <c r="F96" s="62" t="s">
        <v>1297</v>
      </c>
      <c r="G96" s="280" t="s">
        <v>1425</v>
      </c>
      <c r="H96" s="280" t="s">
        <v>1426</v>
      </c>
      <c r="I96" s="283" t="s">
        <v>1427</v>
      </c>
    </row>
    <row r="97" spans="1:9">
      <c r="A97" s="62">
        <v>7</v>
      </c>
      <c r="B97" s="279">
        <v>45894</v>
      </c>
      <c r="C97" s="65" t="s">
        <v>1267</v>
      </c>
      <c r="D97" s="65" t="s">
        <v>6</v>
      </c>
      <c r="E97" s="62" t="s">
        <v>1664</v>
      </c>
      <c r="F97" s="62" t="s">
        <v>1416</v>
      </c>
      <c r="G97" s="280" t="s">
        <v>1248</v>
      </c>
      <c r="H97" s="280" t="s">
        <v>1249</v>
      </c>
      <c r="I97" s="283" t="s">
        <v>1428</v>
      </c>
    </row>
    <row r="98" spans="1:9">
      <c r="A98" s="62">
        <v>6</v>
      </c>
      <c r="B98" s="279">
        <v>45893</v>
      </c>
      <c r="C98" s="282" t="s">
        <v>1271</v>
      </c>
      <c r="D98" s="282" t="s">
        <v>21</v>
      </c>
      <c r="E98" s="62" t="s">
        <v>1665</v>
      </c>
      <c r="F98" s="62" t="s">
        <v>1429</v>
      </c>
      <c r="G98" s="280" t="s">
        <v>1249</v>
      </c>
      <c r="H98" s="280" t="s">
        <v>1254</v>
      </c>
      <c r="I98" s="283" t="s">
        <v>1430</v>
      </c>
    </row>
    <row r="99" spans="1:9">
      <c r="A99" s="62">
        <v>5</v>
      </c>
      <c r="B99" s="279">
        <v>45892</v>
      </c>
      <c r="C99" s="284" t="s">
        <v>1273</v>
      </c>
      <c r="D99" s="284" t="s">
        <v>19</v>
      </c>
      <c r="E99" s="62" t="s">
        <v>1666</v>
      </c>
      <c r="F99" s="62" t="s">
        <v>1297</v>
      </c>
      <c r="G99" s="280" t="s">
        <v>1265</v>
      </c>
      <c r="H99" s="280" t="s">
        <v>1269</v>
      </c>
      <c r="I99" s="283" t="s">
        <v>1431</v>
      </c>
    </row>
    <row r="100" spans="1:9">
      <c r="A100" s="62">
        <v>4</v>
      </c>
      <c r="B100" s="279">
        <v>45891</v>
      </c>
      <c r="C100" s="285" t="s">
        <v>1246</v>
      </c>
      <c r="D100" s="285" t="s">
        <v>17</v>
      </c>
      <c r="E100" s="62" t="s">
        <v>1667</v>
      </c>
      <c r="F100" s="62" t="s">
        <v>1390</v>
      </c>
      <c r="G100" s="280" t="s">
        <v>1253</v>
      </c>
      <c r="H100" s="280" t="s">
        <v>1254</v>
      </c>
      <c r="I100" s="283" t="s">
        <v>1432</v>
      </c>
    </row>
    <row r="101" spans="1:9">
      <c r="A101" s="62">
        <v>3</v>
      </c>
      <c r="B101" s="279">
        <v>45890</v>
      </c>
      <c r="C101" s="286" t="s">
        <v>1251</v>
      </c>
      <c r="D101" s="286" t="s">
        <v>14</v>
      </c>
      <c r="E101" s="62" t="s">
        <v>1668</v>
      </c>
      <c r="F101" s="62" t="s">
        <v>1297</v>
      </c>
      <c r="G101" s="280" t="s">
        <v>1335</v>
      </c>
      <c r="H101" s="280" t="s">
        <v>1259</v>
      </c>
      <c r="I101" s="283" t="s">
        <v>1433</v>
      </c>
    </row>
    <row r="102" spans="1:9">
      <c r="A102" s="62">
        <v>2</v>
      </c>
      <c r="B102" s="279">
        <v>45889</v>
      </c>
      <c r="C102" s="159" t="s">
        <v>1256</v>
      </c>
      <c r="D102" s="159" t="s">
        <v>1257</v>
      </c>
      <c r="E102" s="62" t="s">
        <v>1669</v>
      </c>
      <c r="F102" s="62" t="s">
        <v>1434</v>
      </c>
      <c r="G102" s="280" t="s">
        <v>1249</v>
      </c>
      <c r="H102" s="280" t="s">
        <v>1282</v>
      </c>
      <c r="I102" s="283" t="s">
        <v>1435</v>
      </c>
    </row>
    <row r="103" spans="1:9">
      <c r="A103" s="62">
        <v>1</v>
      </c>
      <c r="B103" s="279">
        <v>45888</v>
      </c>
      <c r="C103" s="119" t="s">
        <v>1262</v>
      </c>
      <c r="D103" s="119" t="s">
        <v>8</v>
      </c>
      <c r="E103" s="62" t="s">
        <v>1670</v>
      </c>
      <c r="F103" s="62" t="s">
        <v>1310</v>
      </c>
      <c r="G103" s="280" t="s">
        <v>1279</v>
      </c>
      <c r="H103" s="280" t="s">
        <v>1282</v>
      </c>
      <c r="I103" s="283" t="s">
        <v>1436</v>
      </c>
    </row>
  </sheetData>
  <hyperlinks>
    <hyperlink ref="E2" r:id="rId0"/>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90" r:id="rId86"/>
    <hyperlink ref="E91" r:id="rId87"/>
    <hyperlink ref="E92" r:id="rId88"/>
    <hyperlink ref="E93" r:id="rId89"/>
    <hyperlink ref="E94" r:id="rId90"/>
    <hyperlink ref="E95" r:id="rId91"/>
    <hyperlink ref="E96" r:id="rId92"/>
    <hyperlink ref="E97" r:id="rId93"/>
    <hyperlink ref="E98" r:id="rId94"/>
    <hyperlink ref="E99" r:id="rId95"/>
    <hyperlink ref="E100" r:id="rId96"/>
    <hyperlink ref="E101" r:id="rId97"/>
    <hyperlink ref="E102" r:id="rId98"/>
    <hyperlink ref="E103" r:id="rId99"/>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2026-07-20T18:54:58Z</dcterms:created>
  <dcterms:modified xsi:type="dcterms:W3CDTF">2026-07-20T18:54:58Z</dcterms:modified>
</cp:coreProperties>
</file>